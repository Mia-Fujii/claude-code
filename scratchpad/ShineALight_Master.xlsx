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① イベント日程" sheetId="2" state="visible" r:id="rId2"/>
    <sheet name="② 共通設定" sheetId="3" state="visible" r:id="rId3"/>
    <sheet name="③ 本文テンプレ" sheetId="4" state="visible" r:id="rId4"/>
    <sheet name="④ 差込項目リファレン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595959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システムが自動発番。手入力しない。</t>
      </text>
    </comment>
    <comment ref="C1" authorId="0" shapeId="0">
      <text>
        <t>グルコン / ビギナーグルコン / 課題作業会 / 講義配信 / キャッチアップサンデー / 締切系 / 開講準備 のいずれか</t>
      </text>
    </comment>
    <comment ref="F1" authorId="0" shapeId="0">
      <text>
        <t>開催日から自動計算（=TEXT(E2,"aaa")）</t>
      </text>
    </comment>
    <comment ref="J1" authorId="0" shapeId="0">
      <text>
        <t>19期 / 19期継続 / 19期継続(作業会特典対象者) など</t>
      </text>
    </comment>
    <comment ref="N1" authorId="0" shapeId="0">
      <text>
        <t>この日付の朝にフォームを自動オープン。空欄なら開閉しない。</t>
      </text>
    </comment>
    <comment ref="O1" authorId="0" shapeId="0">
      <text>
        <t>この日時にフォームを自動クローズ。例：開催前日12:00</t>
      </text>
    </comment>
    <comment ref="R1" authorId="0" shapeId="0">
      <text>
        <t>未実施 / 進行中 / 完了 / スキップ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90" customWidth="1" min="3" max="3"/>
  </cols>
  <sheetData>
    <row r="2">
      <c r="B2" s="1" t="inlineStr">
        <is>
          <t>Shine A Light 事務局オートメーション マスタ</t>
        </is>
      </c>
    </row>
    <row r="3" ht="20" customHeight="1">
      <c r="B3" s="2" t="inlineStr"/>
      <c r="C3" s="3" t="inlineStr"/>
    </row>
    <row r="4" ht="60" customHeight="1">
      <c r="B4" s="2" t="inlineStr">
        <is>
          <t>目的</t>
        </is>
      </c>
      <c r="C4" s="3" t="inlineStr">
        <is>
          <t>GAS（Google Apps Script）が毎朝このスプレッドシートを読み、
各イベントの何日前かを判定 → Gmail下書きを自動生成 → Chatworkに通知します。</t>
        </is>
      </c>
    </row>
    <row r="5" ht="60" customHeight="1">
      <c r="B5" s="2" t="inlineStr">
        <is>
          <t>編集する場所</t>
        </is>
      </c>
      <c r="C5" s="3" t="inlineStr">
        <is>
          <t>🟡 黄色セル … あなたが埋める場所（イベント日程・Zoomリンク・フォームURLなど）
⬜ 白セル …… システムが読む固定値（テンプレ本文、共通URLなど・必要なら編集可）
🩶 灰色セル … 自動計算 or 参照専用（触らない）</t>
        </is>
      </c>
    </row>
    <row r="6" ht="20" customHeight="1">
      <c r="B6" s="2" t="inlineStr"/>
      <c r="C6" s="3" t="inlineStr"/>
    </row>
    <row r="7" ht="20" customHeight="1">
      <c r="B7" s="2" t="inlineStr">
        <is>
          <t>シート構成</t>
        </is>
      </c>
      <c r="C7" s="3" t="inlineStr"/>
    </row>
    <row r="8" ht="60" customHeight="1">
      <c r="B8" s="2" t="inlineStr">
        <is>
          <t>① イベント日程</t>
        </is>
      </c>
      <c r="C8" s="3" t="inlineStr">
        <is>
          <t>全イベント（グルコン／作業会／講義配信／締切系など）を1行1件で管理。
新しい期が始まったら、このシートに追記するだけでOK。</t>
        </is>
      </c>
    </row>
    <row r="9" ht="60" customHeight="1">
      <c r="B9" s="2" t="inlineStr">
        <is>
          <t>② 共通設定</t>
        </is>
      </c>
      <c r="C9" s="3" t="inlineStr">
        <is>
          <t>会員サイトURL・FBグループURL・署名・事務局アドレス・Chatwork設定など、
全メール共通で使う値。期を跨いで基本変わらない。</t>
        </is>
      </c>
    </row>
    <row r="10" ht="60" customHeight="1">
      <c r="B10" s="2" t="inlineStr">
        <is>
          <t>③ 本文テンプレ</t>
        </is>
      </c>
      <c r="C10" s="3" t="inlineStr">
        <is>
          <t>「質問募集」「前日」「当日」「アーカイブ」など、メール種別ごとの件名＆本文の雛形。
{{差込項目}} が自動置換される。</t>
        </is>
      </c>
    </row>
    <row r="11" ht="20" customHeight="1">
      <c r="B11" s="2" t="inlineStr">
        <is>
          <t>④ 差込項目 リファレンス</t>
        </is>
      </c>
      <c r="C11" s="3" t="inlineStr">
        <is>
          <t>テンプレで使える {{変数名}} の一覧。テンプレ編集時に参照。</t>
        </is>
      </c>
    </row>
    <row r="12" ht="20" customHeight="1">
      <c r="B12" s="2" t="inlineStr"/>
      <c r="C12" s="3" t="inlineStr"/>
    </row>
    <row r="13" ht="60" customHeight="1">
      <c r="B13" s="2" t="inlineStr">
        <is>
          <t>運用の流れ</t>
        </is>
      </c>
      <c r="C13" s="3" t="inlineStr">
        <is>
          <t>1. 期の頭に「① イベント日程」を1回埋める（20期なら20期分を一気に）
2. GASが毎朝走って、「今日は◯◯の3日前か？」を判定
3. 該当あり → テンプレ選ぶ → 差込 → Gmail下書き作成 → Chatwork通知
4. あなた：Chatwork通知が来たら Gmail下書きを確認して送信ボタン</t>
        </is>
      </c>
    </row>
    <row r="14" ht="20" customHeight="1">
      <c r="B14" s="2" t="inlineStr"/>
      <c r="C14" s="3" t="inlineStr"/>
    </row>
    <row r="15" ht="60" customHeight="1">
      <c r="B15" s="2" t="inlineStr">
        <is>
          <t>Step 2以降</t>
        </is>
      </c>
      <c r="C15" s="3" t="inlineStr">
        <is>
          <t>このスプレッドシートが埋まったら、GASコードを書きます（Step 2）。
まずはこのファイルを Google スプレッドシートにアップロードして、
黄色セルを実データで埋めてみてください。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28" customWidth="1" min="4" max="4"/>
    <col width="12" customWidth="1" min="5" max="5"/>
    <col width="8" customWidth="1" min="6" max="6"/>
    <col width="10" customWidth="1" min="7" max="7"/>
    <col width="10" customWidth="1" min="8" max="8"/>
    <col width="18" customWidth="1" min="9" max="9"/>
    <col width="24" customWidth="1" min="10" max="10"/>
    <col width="40" customWidth="1" min="11" max="11"/>
    <col width="16" customWidth="1" min="12" max="12"/>
    <col width="40" customWidth="1" min="13" max="13"/>
    <col width="12" customWidth="1" min="14" max="14"/>
    <col width="18" customWidth="1" min="15" max="15"/>
    <col width="40" customWidth="1" min="16" max="16"/>
    <col width="30" customWidth="1" min="17" max="17"/>
    <col width="12" customWidth="1" min="18" max="18"/>
  </cols>
  <sheetData>
    <row r="1" ht="32" customHeight="1">
      <c r="A1" s="4" t="inlineStr">
        <is>
          <t>イベントID</t>
        </is>
      </c>
      <c r="B1" s="4" t="inlineStr">
        <is>
          <t>期</t>
        </is>
      </c>
      <c r="C1" s="4" t="inlineStr">
        <is>
          <t>イベント種別</t>
        </is>
      </c>
      <c r="D1" s="4" t="inlineStr">
        <is>
          <t>イベント名（表示用）</t>
        </is>
      </c>
      <c r="E1" s="4" t="inlineStr">
        <is>
          <t>開催日</t>
        </is>
      </c>
      <c r="F1" s="4" t="inlineStr">
        <is>
          <t>曜日(自動)</t>
        </is>
      </c>
      <c r="G1" s="4" t="inlineStr">
        <is>
          <t>開始時刻</t>
        </is>
      </c>
      <c r="H1" s="4" t="inlineStr">
        <is>
          <t>終了時刻</t>
        </is>
      </c>
      <c r="I1" s="4" t="inlineStr">
        <is>
          <t>担当講師</t>
        </is>
      </c>
      <c r="J1" s="4" t="inlineStr">
        <is>
          <t>対象セグメント</t>
        </is>
      </c>
      <c r="K1" s="4" t="inlineStr">
        <is>
          <t>Zoomリンク</t>
        </is>
      </c>
      <c r="L1" s="4" t="inlineStr">
        <is>
          <t>ミーティングID</t>
        </is>
      </c>
      <c r="M1" s="4" t="inlineStr">
        <is>
          <t>事前フォームURL</t>
        </is>
      </c>
      <c r="N1" s="4" t="inlineStr">
        <is>
          <t>フォーム開放日</t>
        </is>
      </c>
      <c r="O1" s="4" t="inlineStr">
        <is>
          <t>フォーム締切日時</t>
        </is>
      </c>
      <c r="P1" s="4" t="inlineStr">
        <is>
          <t>アーカイブURL</t>
        </is>
      </c>
      <c r="Q1" s="4" t="inlineStr">
        <is>
          <t>備考</t>
        </is>
      </c>
      <c r="R1" s="4" t="inlineStr">
        <is>
          <t>ステータス</t>
        </is>
      </c>
    </row>
    <row r="2">
      <c r="A2" s="5" t="inlineStr">
        <is>
          <t>E001</t>
        </is>
      </c>
      <c r="B2" s="5" t="n">
        <v>19</v>
      </c>
      <c r="C2" s="5" t="inlineStr">
        <is>
          <t>グルコン</t>
        </is>
      </c>
      <c r="D2" s="5" t="inlineStr">
        <is>
          <t>2/26グルコン</t>
        </is>
      </c>
      <c r="E2" s="5" t="inlineStr">
        <is>
          <t>2026/2/26</t>
        </is>
      </c>
      <c r="F2" s="6">
        <f>TEXT(E2,"aaa")</f>
        <v/>
      </c>
      <c r="G2" s="5" t="inlineStr">
        <is>
          <t>10:00</t>
        </is>
      </c>
      <c r="H2" s="5" t="inlineStr">
        <is>
          <t>11:00</t>
        </is>
      </c>
      <c r="I2" s="5" t="inlineStr">
        <is>
          <t>ヴォンドラ髙橋若菜</t>
        </is>
      </c>
      <c r="J2" s="5" t="inlineStr">
        <is>
          <t>19期</t>
        </is>
      </c>
      <c r="K2" s="5" t="inlineStr">
        <is>
          <t>https://us02web.zoom.us/j/83125213095</t>
        </is>
      </c>
      <c r="L2" s="5" t="inlineStr">
        <is>
          <t>831 2521 3095</t>
        </is>
      </c>
      <c r="M2" s="5" t="inlineStr">
        <is>
          <t>https://ws.formzu.net/dist/S16631693/</t>
        </is>
      </c>
      <c r="N2" s="5" t="inlineStr">
        <is>
          <t>2026/2/23</t>
        </is>
      </c>
      <c r="O2" s="5" t="inlineStr">
        <is>
          <t>2026/2/25 12:00</t>
        </is>
      </c>
      <c r="P2" s="5" t="inlineStr"/>
      <c r="Q2" s="5" t="inlineStr"/>
      <c r="R2" s="5" t="inlineStr">
        <is>
          <t>完了</t>
        </is>
      </c>
    </row>
    <row r="3">
      <c r="A3" s="5" t="inlineStr">
        <is>
          <t>E002</t>
        </is>
      </c>
      <c r="B3" s="5" t="n">
        <v>19</v>
      </c>
      <c r="C3" s="5" t="inlineStr">
        <is>
          <t>グルコン</t>
        </is>
      </c>
      <c r="D3" s="5" t="inlineStr">
        <is>
          <t>3/12グルコン</t>
        </is>
      </c>
      <c r="E3" s="5" t="inlineStr">
        <is>
          <t>2026/3/12</t>
        </is>
      </c>
      <c r="F3" s="6">
        <f>TEXT(E3,"aaa")</f>
        <v/>
      </c>
      <c r="G3" s="5" t="inlineStr">
        <is>
          <t>21:00</t>
        </is>
      </c>
      <c r="H3" s="5" t="inlineStr">
        <is>
          <t>22:00</t>
        </is>
      </c>
      <c r="I3" s="5" t="inlineStr">
        <is>
          <t>ヴォンドラ髙橋若菜</t>
        </is>
      </c>
      <c r="J3" s="5" t="inlineStr">
        <is>
          <t>19期</t>
        </is>
      </c>
      <c r="K3" s="5" t="inlineStr">
        <is>
          <t>https://us02web.zoom.us/j/83125213095</t>
        </is>
      </c>
      <c r="L3" s="5" t="inlineStr">
        <is>
          <t>831 2521 3095</t>
        </is>
      </c>
      <c r="M3" s="5" t="inlineStr">
        <is>
          <t>https://ws.formzu.net/dist/S16631693/</t>
        </is>
      </c>
      <c r="N3" s="5" t="inlineStr">
        <is>
          <t>2026/3/9</t>
        </is>
      </c>
      <c r="O3" s="5" t="inlineStr">
        <is>
          <t>2026/3/11 12:00</t>
        </is>
      </c>
      <c r="P3" s="5" t="inlineStr"/>
      <c r="Q3" s="5" t="inlineStr"/>
      <c r="R3" s="5" t="inlineStr">
        <is>
          <t>完了</t>
        </is>
      </c>
    </row>
    <row r="4">
      <c r="A4" s="5" t="inlineStr">
        <is>
          <t>E003</t>
        </is>
      </c>
      <c r="B4" s="5" t="n">
        <v>19</v>
      </c>
      <c r="C4" s="5" t="inlineStr">
        <is>
          <t>ビギナーグルコン</t>
        </is>
      </c>
      <c r="D4" s="5" t="inlineStr">
        <is>
          <t>3/13ビギナーグルコン</t>
        </is>
      </c>
      <c r="E4" s="5" t="inlineStr">
        <is>
          <t>2026/3/13</t>
        </is>
      </c>
      <c r="F4" s="6">
        <f>TEXT(E4,"aaa")</f>
        <v/>
      </c>
      <c r="G4" s="5" t="inlineStr">
        <is>
          <t>21:00</t>
        </is>
      </c>
      <c r="H4" s="5" t="inlineStr">
        <is>
          <t>22:00</t>
        </is>
      </c>
      <c r="I4" s="5" t="inlineStr">
        <is>
          <t>神保麻紀先生</t>
        </is>
      </c>
      <c r="J4" s="5" t="inlineStr">
        <is>
          <t>19期</t>
        </is>
      </c>
      <c r="K4" s="5" t="inlineStr"/>
      <c r="L4" s="5" t="inlineStr"/>
      <c r="M4" s="5" t="inlineStr">
        <is>
          <t>https://ws.formzu.net/dist/S16942447/</t>
        </is>
      </c>
      <c r="N4" s="5" t="inlineStr">
        <is>
          <t>2026/3/10</t>
        </is>
      </c>
      <c r="O4" s="5" t="inlineStr">
        <is>
          <t>2026/3/12 12:00</t>
        </is>
      </c>
      <c r="P4" s="5" t="inlineStr"/>
      <c r="Q4" s="5" t="inlineStr"/>
      <c r="R4" s="5" t="inlineStr">
        <is>
          <t>完了</t>
        </is>
      </c>
    </row>
    <row r="5">
      <c r="A5" s="5" t="inlineStr">
        <is>
          <t>E004</t>
        </is>
      </c>
      <c r="B5" s="5" t="n">
        <v>19</v>
      </c>
      <c r="C5" s="5" t="inlineStr">
        <is>
          <t>課題作業会</t>
        </is>
      </c>
      <c r="D5" s="5" t="inlineStr">
        <is>
          <t>3/31課題作業会</t>
        </is>
      </c>
      <c r="E5" s="5" t="inlineStr">
        <is>
          <t>2026/3/31</t>
        </is>
      </c>
      <c r="F5" s="6">
        <f>TEXT(E5,"aaa")</f>
        <v/>
      </c>
      <c r="G5" s="5" t="inlineStr">
        <is>
          <t>21:00</t>
        </is>
      </c>
      <c r="H5" s="5" t="inlineStr">
        <is>
          <t>22:00</t>
        </is>
      </c>
      <c r="I5" s="5" t="inlineStr">
        <is>
          <t>山下直子先生</t>
        </is>
      </c>
      <c r="J5" s="5" t="inlineStr">
        <is>
          <t>19期</t>
        </is>
      </c>
      <c r="K5" s="5" t="inlineStr">
        <is>
          <t>https://us06web.zoom.us/j/82579711397</t>
        </is>
      </c>
      <c r="L5" s="5" t="inlineStr">
        <is>
          <t>825 7971 1397</t>
        </is>
      </c>
      <c r="M5" s="5" t="inlineStr">
        <is>
          <t>https://ws.formzu.net/fgen/S99301863/</t>
        </is>
      </c>
      <c r="N5" s="5" t="inlineStr">
        <is>
          <t>2026/3/28</t>
        </is>
      </c>
      <c r="O5" s="5" t="inlineStr">
        <is>
          <t>2026/3/30 12:00</t>
        </is>
      </c>
      <c r="P5" s="5" t="inlineStr"/>
      <c r="Q5" s="5" t="inlineStr"/>
      <c r="R5" s="5" t="inlineStr">
        <is>
          <t>完了</t>
        </is>
      </c>
    </row>
    <row r="6">
      <c r="A6" s="5" t="inlineStr">
        <is>
          <t>E005</t>
        </is>
      </c>
      <c r="B6" s="5" t="n">
        <v>19</v>
      </c>
      <c r="C6" s="5" t="inlineStr">
        <is>
          <t>講義配信</t>
        </is>
      </c>
      <c r="D6" s="5" t="inlineStr">
        <is>
          <t>第1回講義(ブランディング)</t>
        </is>
      </c>
      <c r="E6" s="5" t="inlineStr">
        <is>
          <t>2026/2/16</t>
        </is>
      </c>
      <c r="F6" s="6">
        <f>TEXT(E6,"aaa")</f>
        <v/>
      </c>
      <c r="G6" s="5" t="inlineStr">
        <is>
          <t>07:00</t>
        </is>
      </c>
      <c r="H6" s="5" t="inlineStr"/>
      <c r="I6" s="5" t="inlineStr"/>
      <c r="J6" s="5" t="inlineStr">
        <is>
          <t>19期</t>
        </is>
      </c>
      <c r="K6" s="5" t="inlineStr"/>
      <c r="L6" s="5" t="inlineStr"/>
      <c r="M6" s="5" t="inlineStr"/>
      <c r="N6" s="5" t="inlineStr"/>
      <c r="O6" s="5" t="inlineStr"/>
      <c r="P6" s="5" t="inlineStr">
        <is>
          <t>https://vimeo.com/xxxxxxx</t>
        </is>
      </c>
      <c r="Q6" s="5" t="inlineStr">
        <is>
          <t>第1回：ブランディング</t>
        </is>
      </c>
      <c r="R6" s="5" t="inlineStr">
        <is>
          <t>完了</t>
        </is>
      </c>
    </row>
    <row r="7">
      <c r="A7" s="5" t="n"/>
      <c r="B7" s="5" t="n"/>
      <c r="C7" s="5" t="n"/>
      <c r="D7" s="5" t="n"/>
      <c r="E7" s="5" t="n"/>
      <c r="F7" s="6">
        <f>IF(E7="","",TEXT(E7,"aaa"))</f>
        <v/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6">
        <f>IF(E8="","",TEXT(E8,"aaa"))</f>
        <v/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6">
        <f>IF(E9="","",TEXT(E9,"aaa"))</f>
        <v/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6">
        <f>IF(E10="","",TEXT(E10,"aaa"))</f>
        <v/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6">
        <f>IF(E11="","",TEXT(E11,"aaa"))</f>
        <v/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6">
        <f>IF(E12="","",TEXT(E12,"aaa"))</f>
        <v/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n"/>
      <c r="B13" s="5" t="n"/>
      <c r="C13" s="5" t="n"/>
      <c r="D13" s="5" t="n"/>
      <c r="E13" s="5" t="n"/>
      <c r="F13" s="6">
        <f>IF(E13="","",TEXT(E13,"aaa"))</f>
        <v/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n"/>
      <c r="B14" s="5" t="n"/>
      <c r="C14" s="5" t="n"/>
      <c r="D14" s="5" t="n"/>
      <c r="E14" s="5" t="n"/>
      <c r="F14" s="6">
        <f>IF(E14="","",TEXT(E14,"aaa"))</f>
        <v/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n"/>
      <c r="B15" s="5" t="n"/>
      <c r="C15" s="5" t="n"/>
      <c r="D15" s="5" t="n"/>
      <c r="E15" s="5" t="n"/>
      <c r="F15" s="6">
        <f>IF(E15="","",TEXT(E15,"aaa"))</f>
        <v/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n"/>
      <c r="B16" s="5" t="n"/>
      <c r="C16" s="5" t="n"/>
      <c r="D16" s="5" t="n"/>
      <c r="E16" s="5" t="n"/>
      <c r="F16" s="6">
        <f>IF(E16="","",TEXT(E16,"aaa"))</f>
        <v/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n"/>
      <c r="B17" s="5" t="n"/>
      <c r="C17" s="5" t="n"/>
      <c r="D17" s="5" t="n"/>
      <c r="E17" s="5" t="n"/>
      <c r="F17" s="6">
        <f>IF(E17="","",TEXT(E17,"aaa"))</f>
        <v/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n"/>
      <c r="B18" s="5" t="n"/>
      <c r="C18" s="5" t="n"/>
      <c r="D18" s="5" t="n"/>
      <c r="E18" s="5" t="n"/>
      <c r="F18" s="6">
        <f>IF(E18="","",TEXT(E18,"aaa"))</f>
        <v/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6">
        <f>IF(E19="","",TEXT(E19,"aaa"))</f>
        <v/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6">
        <f>IF(E20="","",TEXT(E20,"aaa"))</f>
        <v/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n"/>
      <c r="B21" s="5" t="n"/>
      <c r="C21" s="5" t="n"/>
      <c r="D21" s="5" t="n"/>
      <c r="E21" s="5" t="n"/>
      <c r="F21" s="6">
        <f>IF(E21="","",TEXT(E21,"aaa"))</f>
        <v/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n"/>
      <c r="B22" s="5" t="n"/>
      <c r="C22" s="5" t="n"/>
      <c r="D22" s="5" t="n"/>
      <c r="E22" s="5" t="n"/>
      <c r="F22" s="6">
        <f>IF(E22="","",TEXT(E22,"aaa"))</f>
        <v/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n"/>
      <c r="B23" s="5" t="n"/>
      <c r="C23" s="5" t="n"/>
      <c r="D23" s="5" t="n"/>
      <c r="E23" s="5" t="n"/>
      <c r="F23" s="6">
        <f>IF(E23="","",TEXT(E23,"aaa"))</f>
        <v/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n"/>
      <c r="B24" s="5" t="n"/>
      <c r="C24" s="5" t="n"/>
      <c r="D24" s="5" t="n"/>
      <c r="E24" s="5" t="n"/>
      <c r="F24" s="6">
        <f>IF(E24="","",TEXT(E24,"aaa"))</f>
        <v/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5" t="n"/>
      <c r="F25" s="6">
        <f>IF(E25="","",TEXT(E25,"aaa"))</f>
        <v/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5" t="n"/>
      <c r="F26" s="6">
        <f>IF(E26="","",TEXT(E26,"aaa"))</f>
        <v/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70" customWidth="1" min="3" max="3"/>
    <col width="40" customWidth="1" min="4" max="4"/>
  </cols>
  <sheetData>
    <row r="1">
      <c r="A1" s="4" t="n"/>
      <c r="B1" s="4" t="inlineStr">
        <is>
          <t>キー</t>
        </is>
      </c>
      <c r="C1" s="4" t="inlineStr">
        <is>
          <t>値</t>
        </is>
      </c>
      <c r="D1" s="4" t="inlineStr">
        <is>
          <t>備考</t>
        </is>
      </c>
    </row>
    <row r="2">
      <c r="B2" s="7" t="inlineStr">
        <is>
          <t>会員サイトURL</t>
        </is>
      </c>
      <c r="C2" s="5" t="inlineStr">
        <is>
          <t>https://shinealight-xpvyol.club.hotmart.com/login</t>
        </is>
      </c>
      <c r="D2" s="8" t="inlineStr">
        <is>
          <t>Hotmartログイン</t>
        </is>
      </c>
    </row>
    <row r="3">
      <c r="B3" s="7" t="inlineStr">
        <is>
          <t>会員サイトアクセス方法</t>
        </is>
      </c>
      <c r="C3" s="5" t="inlineStr">
        <is>
          <t>https://vimeo.com/1161412964/8fe81ba1d6?share=copy&amp;fl=sv&amp;fe=ci</t>
        </is>
      </c>
      <c r="D3" s="8" t="inlineStr">
        <is>
          <t>パスワード再設定動画</t>
        </is>
      </c>
    </row>
    <row r="4">
      <c r="B4" s="7" t="inlineStr">
        <is>
          <t>19期FBグループURL</t>
        </is>
      </c>
      <c r="C4" s="5" t="inlineStr">
        <is>
          <t>https://www.facebook.com/groups/1885679962314787</t>
        </is>
      </c>
      <c r="D4" s="8" t="inlineStr"/>
    </row>
    <row r="5">
      <c r="B5" s="7" t="inlineStr">
        <is>
          <t>19期継続FBグループURL</t>
        </is>
      </c>
      <c r="C5" s="5" t="inlineStr">
        <is>
          <t>https://www.facebook.com/groups/841183151841115</t>
        </is>
      </c>
      <c r="D5" s="8" t="inlineStr"/>
    </row>
    <row r="6">
      <c r="B6" s="7" t="inlineStr">
        <is>
          <t>課題チェックシートフォルダ</t>
        </is>
      </c>
      <c r="C6" s="5" t="inlineStr">
        <is>
          <t>https://drive.google.com/drive/folders/12F9Xrsb9IrE7CbrxKGVLv0MNjXRF3Gj0?usp=sharing</t>
        </is>
      </c>
      <c r="D6" s="8" t="inlineStr"/>
    </row>
    <row r="7">
      <c r="B7" s="7" t="inlineStr">
        <is>
          <t>事務局差出人名</t>
        </is>
      </c>
      <c r="C7" s="5" t="inlineStr">
        <is>
          <t>Shine A Light 運営事務局</t>
        </is>
      </c>
      <c r="D7" s="8" t="inlineStr"/>
    </row>
    <row r="8">
      <c r="B8" s="7" t="inlineStr">
        <is>
          <t>事務局アドレス</t>
        </is>
      </c>
      <c r="C8" s="5" t="inlineStr">
        <is>
          <t>your-office@example.com</t>
        </is>
      </c>
      <c r="D8" s="8" t="inlineStr">
        <is>
          <t>🟡 実際のアドレスに書き換える</t>
        </is>
      </c>
    </row>
    <row r="9">
      <c r="B9" s="7" t="inlineStr">
        <is>
          <t>Chatwork APIトークン</t>
        </is>
      </c>
      <c r="C9" s="5" t="inlineStr"/>
      <c r="D9" s="8" t="inlineStr">
        <is>
          <t>🟡 Chatwork設定 &gt; API から取得</t>
        </is>
      </c>
    </row>
    <row r="10">
      <c r="B10" s="7" t="inlineStr">
        <is>
          <t>Chatwork ルームID(事務局)</t>
        </is>
      </c>
      <c r="C10" s="5" t="inlineStr"/>
      <c r="D10" s="8" t="inlineStr">
        <is>
          <t>🟡 通知投稿先ルームのID</t>
        </is>
      </c>
    </row>
    <row r="11">
      <c r="B11" s="7" t="inlineStr">
        <is>
          <t>Chatwork メンション先</t>
        </is>
      </c>
      <c r="C11" s="5" t="inlineStr">
        <is>
          <t>[To:xxxxxx]</t>
        </is>
      </c>
      <c r="D11" s="8" t="inlineStr">
        <is>
          <t>🟡 自分のChatwork ID</t>
        </is>
      </c>
    </row>
    <row r="12">
      <c r="B12" s="7" t="inlineStr">
        <is>
          <t>グルコンフォームURL</t>
        </is>
      </c>
      <c r="C12" s="5" t="inlineStr">
        <is>
          <t>https://ws.formzu.net/dist/S16631693/</t>
        </is>
      </c>
      <c r="D12" s="8" t="inlineStr">
        <is>
          <t>ヴォンドラ先生グルコン用</t>
        </is>
      </c>
    </row>
    <row r="13">
      <c r="B13" s="7" t="inlineStr">
        <is>
          <t>ビギナーフォームURL</t>
        </is>
      </c>
      <c r="C13" s="5" t="inlineStr">
        <is>
          <t>https://ws.formzu.net/dist/S16942447/</t>
        </is>
      </c>
      <c r="D13" s="8" t="inlineStr">
        <is>
          <t>ビギナーグルコン用</t>
        </is>
      </c>
    </row>
    <row r="14">
      <c r="B14" s="7" t="inlineStr">
        <is>
          <t>作業会フォームURL</t>
        </is>
      </c>
      <c r="C14" s="5" t="inlineStr">
        <is>
          <t>https://ws.formzu.net/fgen/S99301863/</t>
        </is>
      </c>
      <c r="D14" s="8" t="inlineStr">
        <is>
          <t>課題作業会用</t>
        </is>
      </c>
    </row>
    <row r="15">
      <c r="B15" s="7" t="inlineStr">
        <is>
          <t>下書き作成タイミング</t>
        </is>
      </c>
      <c r="C15" s="5" t="inlineStr">
        <is>
          <t>07:00</t>
        </is>
      </c>
      <c r="D15" s="8" t="inlineStr">
        <is>
          <t>毎朝この時刻にGASが動く</t>
        </is>
      </c>
    </row>
    <row r="17" ht="60" customHeight="1">
      <c r="B17" s="9" t="inlineStr">
        <is>
          <t>共通署名（本文末尾に自動付与）</t>
        </is>
      </c>
      <c r="C17" s="5" t="inlineStr">
        <is>
          <t>---
Shine A Light 運営事務局
Mail: your-office@example.com</t>
        </is>
      </c>
    </row>
    <row r="19">
      <c r="B19" s="9" t="inlineStr">
        <is>
          <t>対象別 冒頭文（{{冒頭}} で差し込み）</t>
        </is>
      </c>
    </row>
    <row r="20">
      <c r="B20" s="10" t="inlineStr">
        <is>
          <t>19期</t>
        </is>
      </c>
      <c r="C20" s="5" t="inlineStr">
        <is>
          <t>※このメールは、『19期"Shine A Light"』の皆様にお送りしております。</t>
        </is>
      </c>
    </row>
    <row r="21">
      <c r="B21" s="10" t="inlineStr">
        <is>
          <t>19期継続</t>
        </is>
      </c>
      <c r="C21" s="5" t="inlineStr">
        <is>
          <t>※このメールは、『19期"Shine A Light"継続生』の皆様にお送りしております。</t>
        </is>
      </c>
    </row>
    <row r="22">
      <c r="B22" s="10" t="inlineStr">
        <is>
          <t>19期継続(作業会特典対象者)</t>
        </is>
      </c>
      <c r="C22" s="5" t="inlineStr">
        <is>
          <t>※このメールは、『19期継続"Shine A Light"』の皆様にお送りしております。</t>
        </is>
      </c>
    </row>
    <row r="23">
      <c r="B23" s="10" t="inlineStr">
        <is>
          <t>18期から19期へ継続する受講生</t>
        </is>
      </c>
      <c r="C23" s="5" t="inlineStr">
        <is>
          <t>※こちらのメールは18期から19期へ継続してくださっている受講生の皆様へお送りしております。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  <col width="10" customWidth="1" min="5" max="5"/>
    <col width="55" customWidth="1" min="6" max="6"/>
    <col width="85" customWidth="1" min="7" max="7"/>
    <col width="25" customWidth="1" min="8" max="8"/>
  </cols>
  <sheetData>
    <row r="1" ht="32" customHeight="1">
      <c r="A1" s="4" t="inlineStr">
        <is>
          <t>テンプレID</t>
        </is>
      </c>
      <c r="B1" s="4" t="inlineStr">
        <is>
          <t>対応イベント種別</t>
        </is>
      </c>
      <c r="C1" s="4" t="inlineStr">
        <is>
          <t>タイミング</t>
        </is>
      </c>
      <c r="D1" s="4" t="inlineStr">
        <is>
          <t>送信日オフセット</t>
        </is>
      </c>
      <c r="E1" s="4" t="inlineStr">
        <is>
          <t>送信時刻</t>
        </is>
      </c>
      <c r="F1" s="4" t="inlineStr">
        <is>
          <t>件名テンプレ</t>
        </is>
      </c>
      <c r="G1" s="4" t="inlineStr">
        <is>
          <t>本文テンプレ</t>
        </is>
      </c>
      <c r="H1" s="4" t="inlineStr">
        <is>
          <t>備考</t>
        </is>
      </c>
    </row>
    <row r="2" ht="240" customHeight="1">
      <c r="A2" s="5" t="inlineStr">
        <is>
          <t>T-G-01</t>
        </is>
      </c>
      <c r="B2" s="5" t="inlineStr">
        <is>
          <t>グルコン</t>
        </is>
      </c>
      <c r="C2" s="5" t="inlineStr">
        <is>
          <t>質問募集</t>
        </is>
      </c>
      <c r="D2" s="5" t="inlineStr">
        <is>
          <t>開催日 - 3</t>
        </is>
      </c>
      <c r="E2" s="5" t="inlineStr">
        <is>
          <t>07:00</t>
        </is>
      </c>
      <c r="F2" s="5" t="inlineStr">
        <is>
          <t>{{開催月}}/{{開催日D}}（{{曜日}}）{{開始時刻H}}時~開催グルコンの質問をお送りください</t>
        </is>
      </c>
      <c r="G2" s="5" t="inlineStr">
        <is>
          <t>{{冒頭}}
こんにちは。
"Shine A Light"運営事務局です。
{{開催月}}月{{開催日D}}日（{{曜日}}）{{開始時刻H}}時〜開催のグルコンについてのご連絡です。
課題をこなすのに、前へ進むのに、止まってしまっていませんか？
グルコンへの質問を受け付けますので、ぜひ困っていること、相談したいことがありましたら、何でも、小さなことでもいいのでお送りください。
【グルコン開催前の事前アンケートのお願い】
グルコン当日に{{担当講師}}に相談したいこと&amp;質問したいことを入力して、以下のアンケートフォームから送信してください。
【回答期限：{{フォーム締切表記}}】までグルコンへの質問&amp;相談をお受けしております。
※グルコンの欠席連絡は不要です。質問をされる場合のみ、フォームに一言欠席の旨お書きください。
＝＝＝＝＝＝
▼グルコンの事前アンケート▼
{{事前フォームURL}}
＝＝＝＝＝＝
【グルコンで添削をご希望の場合の注意点】
グルコンで「添削」を希望される方は、下記の要領でご提出ください。
円滑かつ公平な進行のため、ご協力をお願いいたします。
■ 対象物
・スライド ・SNS（プロフィール含む）・LP ・ホームページ ・Googleドキュメント など
■ 提出方法
1. 事前質問フォームに、対象物のURLリンクを必ず貼り付けてください。
2. リンクの閲覧権限を「リンクを知っている全員が閲覧可」に設定してください。
※グルコン直前の個別メッセージでのリンク送付は受け付けておりません。
■ 質問の書き方
「見てほしいです／添削してください」の一言ではなく、以下を具体的にお書きください。
・特に見てほしい箇所 ・現状と目的 ・相談内容・質問
■ 受付できないケース
・リンク未記載のご提出 ・個別メッセージでの直前送付 ・閲覧権限が付与されていないリンク
ご案内は以上です。
ご不明点のお問い合わせは
当メールの返信にてご連絡ください。
{{署名}}</t>
        </is>
      </c>
      <c r="H2" s="5" t="inlineStr">
        <is>
          <t>開催3日前 朝</t>
        </is>
      </c>
    </row>
    <row r="3" ht="240" customHeight="1">
      <c r="A3" s="5" t="inlineStr">
        <is>
          <t>T-G-02</t>
        </is>
      </c>
      <c r="B3" s="5" t="inlineStr">
        <is>
          <t>グルコン</t>
        </is>
      </c>
      <c r="C3" s="5" t="inlineStr">
        <is>
          <t>前日</t>
        </is>
      </c>
      <c r="D3" s="5" t="inlineStr">
        <is>
          <t>開催日 - 1</t>
        </is>
      </c>
      <c r="E3" s="5" t="inlineStr">
        <is>
          <t>07:00</t>
        </is>
      </c>
      <c r="F3" s="5" t="inlineStr">
        <is>
          <t>【重要】明日{{開始時刻H}}時〜グルコン詳細・事前質問受付は本日12時まで！</t>
        </is>
      </c>
      <c r="G3" s="5" t="inlineStr">
        <is>
          <t>{{冒頭}}
こんにちは。
"Shine A Light"運営事務局です。
明日のグルコンの詳細のお知らせと事前質問アンケート送信のお願いです。
明日【{{開催月}}月{{開催日D}}日（{{曜日}}）{{開始時刻H}}時〜{{終了時刻H}}時】にグルコンがございます。
＝＝＝＝＝＝
【グルコン参加URL（Zoom）】
{{Zoomリンク}}
ミーティング ID: {{ミーティングID}}
＝＝＝＝＝＝
※グルコン動画は、後日アーカイブを送付いたします。
※グルコンの欠席連絡は不要です。
【グルコン事前質問受付は、回答期限は本日{{今日日付表記}}12時まで！】
▼グルコンアンケート受付フォームURL▼
{{事前フォームURL}}
【グルコンで添削をご希望の場合の注意点】
グルコンで「添削」を希望される方は、下記の要領でご提出ください。
円滑かつ公平な進行のため、ご協力をお願いいたします。
■ 対象物
・スライド ・SNS（プロフィール含む）・LP ・ホームページ ・Googleドキュメント など
■ 提出方法
1. 事前質問フォームに、対象物のURLリンクを必ず貼り付けてください。
2. リンクの閲覧権限を「リンクを知っている全員が閲覧可」に設定してください。
※グルコン直前の個別メッセージでのリンク送付は受け付けておりません。
■ 質問の書き方
「見てほしいです／添削してください」の一言ではなく、以下を具体的にお書きください。
・特に見てほしい箇所 ・現状と目的 ・相談内容・質問
■ 受付できないケース
・リンク未記載のご提出 ・個別メッセージでの直前送付 ・閲覧権限が付与されていないリンク
ご案内は以上です。
ご不明点のお問い合わせは
当メールの返信にてご連絡ください。
{{署名}}</t>
        </is>
      </c>
      <c r="H3" s="5" t="inlineStr">
        <is>
          <t>開催前日 朝</t>
        </is>
      </c>
    </row>
    <row r="4" ht="240" customHeight="1">
      <c r="A4" s="5" t="inlineStr">
        <is>
          <t>T-G-03</t>
        </is>
      </c>
      <c r="B4" s="5" t="inlineStr">
        <is>
          <t>グルコン</t>
        </is>
      </c>
      <c r="C4" s="5" t="inlineStr">
        <is>
          <t>当日</t>
        </is>
      </c>
      <c r="D4" s="5" t="inlineStr">
        <is>
          <t>開催日 + 0</t>
        </is>
      </c>
      <c r="E4" s="5" t="inlineStr">
        <is>
          <t>07:00</t>
        </is>
      </c>
      <c r="F4" s="5" t="inlineStr">
        <is>
          <t>【重要】本日{{開始時刻H}}時〜グルコンの詳細です！</t>
        </is>
      </c>
      <c r="G4" s="5" t="inlineStr">
        <is>
          <t>{{冒頭}}
こんにちは。
"Shine A Light"運営事務局です。
本日 【{{開催月}}月{{開催日D}}日（{{曜日}}）{{開始時刻H}}時〜{{終了時刻H}}時】にグルコンがございます。
＝＝＝＝＝＝
【グルコン参加URL（Zoom）】
{{Zoomリンク}}
ミーティング ID: {{ミーティングID}}
＝＝＝＝＝＝
※グルコン動画は、後日アーカイブを送付いたします。
本日ご都合がつかない方は、アーカイブをご活用ください。
ご案内は以上です。
ご不明点のお問い合わせは
当メールの返信にてご連絡ください。
それでは後ほど、よろしくお願いいたします。
{{署名}}</t>
        </is>
      </c>
      <c r="H4" s="5" t="inlineStr">
        <is>
          <t>開催当日 朝</t>
        </is>
      </c>
    </row>
    <row r="5" ht="240" customHeight="1">
      <c r="A5" s="5" t="inlineStr">
        <is>
          <t>T-G-04</t>
        </is>
      </c>
      <c r="B5" s="5" t="inlineStr">
        <is>
          <t>グルコン</t>
        </is>
      </c>
      <c r="C5" s="5" t="inlineStr">
        <is>
          <t>アーカイブ</t>
        </is>
      </c>
      <c r="D5" s="5" t="inlineStr">
        <is>
          <t>開催日 + 1</t>
        </is>
      </c>
      <c r="E5" s="5" t="inlineStr">
        <is>
          <t>07:00</t>
        </is>
      </c>
      <c r="F5" s="5" t="inlineStr">
        <is>
          <t>【グルコン】{{開催月}}月{{開催日D}}日開催のアーカイブ動画です！</t>
        </is>
      </c>
      <c r="G5" s="5" t="inlineStr">
        <is>
          <t>{{冒頭}}
こんにちは。
"Shine A Light"運営事務局です。
昨日のグルコンのアーカイブを会員サイトにアップしました！
参加できなかった方や復習にご活用くださいませ。
＝＝＝＝＝＝
【会員サイト】＞＞
{{会員サイトURL}}
会員サイトへのアクセス方法＞＞
{{会員サイトアクセス方法}}
＝＝＝＝＝＝
ご案内は以上です。
ご不明点のお問い合わせは
当メールの返信にてご連絡ください。
{{署名}}</t>
        </is>
      </c>
      <c r="H5" s="5" t="inlineStr">
        <is>
          <t>開催翌日 朝</t>
        </is>
      </c>
    </row>
    <row r="6" ht="240" customHeight="1">
      <c r="A6" s="5" t="inlineStr">
        <is>
          <t>T-B-01</t>
        </is>
      </c>
      <c r="B6" s="5" t="inlineStr">
        <is>
          <t>ビギナーグルコン</t>
        </is>
      </c>
      <c r="C6" s="5" t="inlineStr">
        <is>
          <t>質問募集</t>
        </is>
      </c>
      <c r="D6" s="5" t="inlineStr">
        <is>
          <t>開催日 - 3</t>
        </is>
      </c>
      <c r="E6" s="5" t="inlineStr">
        <is>
          <t>07:00</t>
        </is>
      </c>
      <c r="F6" s="5" t="inlineStr">
        <is>
          <t>【重要】{{開催月}}/{{開催日D}}（{{曜日}}）{{開始時刻H}}時~開催 ビギナーグルコンの質問をお送りください</t>
        </is>
      </c>
      <c r="G6" s="5" t="inlineStr">
        <is>
          <t>{{冒頭}}
こんにちは。
"Shine A Light"運営事務局です。
{{開催月}}月{{開催日D}}日（{{曜日}}）{{開始時刻H}}時〜{{終了時刻H}}時にサポート講師によるビギナーグルコンを開催します。
今回のサポート講師は{{担当講師}}です。
グルコンへの質問を受け付けますので、ぜひ困っていること、相談したいことがありましたら、何でも、小さなことでもいいのでお送りください。
【グルコン開催前の事前アンケートのお願い】
【回答期限：{{フォーム締切表記}}】までグルコンへの質問&amp;相談をお受けしております。
▼グルコンの事前アンケート▼
{{事前フォームURL}}
ご案内は以上です。
ご不明点のお問い合わせは
当メールの返信にてご連絡ください。
{{署名}}</t>
        </is>
      </c>
      <c r="H6" s="5" t="inlineStr">
        <is>
          <t>開催3日前 朝</t>
        </is>
      </c>
    </row>
    <row r="7" ht="240" customHeight="1">
      <c r="A7" s="5" t="inlineStr">
        <is>
          <t>T-W-01</t>
        </is>
      </c>
      <c r="B7" s="5" t="inlineStr">
        <is>
          <t>課題作業会</t>
        </is>
      </c>
      <c r="C7" s="5" t="inlineStr">
        <is>
          <t>質問募集</t>
        </is>
      </c>
      <c r="D7" s="5" t="inlineStr">
        <is>
          <t>開催日 - 3</t>
        </is>
      </c>
      <c r="E7" s="5" t="inlineStr">
        <is>
          <t>07:00</t>
        </is>
      </c>
      <c r="F7" s="5" t="inlineStr">
        <is>
          <t>【重要】{{開催月}}/{{開催日D}}（{{曜日}}）{{開始時刻H}}時~開催 課題作業会の質問をお送りください</t>
        </is>
      </c>
      <c r="G7" s="5" t="inlineStr">
        <is>
          <t>{{冒頭}}
こんにちは。
"Shine A Light"運営事務局です。
{{開催月}}月{{開催日D}}日（{{曜日}}）{{開始時刻H}}:00〜開催の課題作業会についてのご連絡です。
「作業会でこんな作業を一緒にしてほしい！」「〇〇に困っている！」ということがありましたら、事前にお伺いしますので事前フォームに入力ください。
【回答期限：{{フォーム締切表記}}】まで作業会への質問&amp;相談をお受けしております。
＝＝＝＝＝＝
▼作業会の事前フォーム▼
{{事前フォームURL}}
＝＝＝＝＝＝
《作業会の詳細》
【日時】{{開催月}}月{{開催日D}}日（{{曜日}}）{{開始時刻H}}時〜{{終了時刻H}}時
・自由参加 ・途中参加、途中退出OK
【担当講師】{{担当講師}}
ご案内は以上です。
ご不明点のお問い合わせは
当メールの返信にてご連絡ください。
{{署名}}</t>
        </is>
      </c>
      <c r="H7" s="5" t="inlineStr">
        <is>
          <t>開催3日前 朝</t>
        </is>
      </c>
    </row>
    <row r="8" ht="240" customHeight="1">
      <c r="A8" s="5" t="inlineStr">
        <is>
          <t>T-W-02</t>
        </is>
      </c>
      <c r="B8" s="5" t="inlineStr">
        <is>
          <t>課題作業会</t>
        </is>
      </c>
      <c r="C8" s="5" t="inlineStr">
        <is>
          <t>前日</t>
        </is>
      </c>
      <c r="D8" s="5" t="inlineStr">
        <is>
          <t>開催日 - 1</t>
        </is>
      </c>
      <c r="E8" s="5" t="inlineStr">
        <is>
          <t>07:00</t>
        </is>
      </c>
      <c r="F8" s="5" t="inlineStr">
        <is>
          <t>【重要】明日{{開始時刻H}}時〜作業会の詳細・事前質問受付は本日12時まで！</t>
        </is>
      </c>
      <c r="G8" s="5" t="inlineStr">
        <is>
          <t>{{冒頭}}
こんにちは。
"Shine A Light"運営事務局です。
明日の作業会の詳細のお知らせと事前フォーム送信のお願いです。
明日【{{開催月}}月{{開催日D}}日（{{曜日}}）{{開始時刻H}}時〜{{終了時刻H}}時】に作業会がございます。
＝＝＝＝＝＝
【参加URL（Zoom）】
{{Zoomリンク}}
ミーティング ID: {{ミーティングID}}
＝＝＝＝＝＝
【日時】{{開催月}}月{{開催日D}}日（{{曜日}}）{{開始時刻H}}時〜{{終了時刻H}}時
【担当講師】{{担当講師}}
【作業会の事前質問の回答期限は本日{{今日日付表記}}12時まで！】
▼作業会の事前フォーム▼
{{事前フォームURL}}
ご案内は以上です。
ご不明点のお問い合わせは
当メールの返信にてご連絡ください。
{{署名}}</t>
        </is>
      </c>
      <c r="H8" s="5" t="inlineStr">
        <is>
          <t>開催前日 朝</t>
        </is>
      </c>
    </row>
    <row r="9" ht="240" customHeight="1">
      <c r="A9" s="5" t="inlineStr">
        <is>
          <t>T-W-03</t>
        </is>
      </c>
      <c r="B9" s="5" t="inlineStr">
        <is>
          <t>課題作業会</t>
        </is>
      </c>
      <c r="C9" s="5" t="inlineStr">
        <is>
          <t>当日</t>
        </is>
      </c>
      <c r="D9" s="5" t="inlineStr">
        <is>
          <t>開催日 + 0</t>
        </is>
      </c>
      <c r="E9" s="5" t="inlineStr">
        <is>
          <t>07:00</t>
        </is>
      </c>
      <c r="F9" s="5" t="inlineStr">
        <is>
          <t>【重要】本日{{開始時刻H}}時〜作業会の詳細です！</t>
        </is>
      </c>
      <c r="G9" s="5" t="inlineStr">
        <is>
          <t>{{冒頭}}
こんにちは。
"Shine A Light"運営事務局です。
本日【{{開催月}}月{{開催日D}}日（{{曜日}}）{{開始時刻H}}時〜{{終了時刻H}}時】に作業会がございます。
＝＝＝＝＝＝
【参加URL（Zoom）】
{{Zoomリンク}}
ミーティング ID: {{ミーティングID}}
＝＝＝＝＝＝
《作業会の詳細》
【日時】{{開催月}}月{{開催日D}}日（{{曜日}}）{{開始時刻H}}時〜{{終了時刻H}}時
【担当講師】{{担当講師}}
ご案内は以上です。
ご不明点のお問い合わせは
当メールの返信にてご連絡ください。
それでは後ほど、よろしくお願いいたします。
{{署名}}</t>
        </is>
      </c>
      <c r="H9" s="5" t="inlineStr">
        <is>
          <t>開催当日 朝</t>
        </is>
      </c>
    </row>
    <row r="10" ht="240" customHeight="1">
      <c r="A10" s="5" t="inlineStr">
        <is>
          <t>T-W-04</t>
        </is>
      </c>
      <c r="B10" s="5" t="inlineStr">
        <is>
          <t>課題作業会</t>
        </is>
      </c>
      <c r="C10" s="5" t="inlineStr">
        <is>
          <t>アーカイブ</t>
        </is>
      </c>
      <c r="D10" s="5" t="inlineStr">
        <is>
          <t>開催日 + 1</t>
        </is>
      </c>
      <c r="E10" s="5" t="inlineStr">
        <is>
          <t>07:00</t>
        </is>
      </c>
      <c r="F10" s="5" t="inlineStr">
        <is>
          <t>【作業会】{{開催月}}月{{開催日D}}日開催のアーカイブ動画です！</t>
        </is>
      </c>
      <c r="G10" s="5" t="inlineStr">
        <is>
          <t>{{冒頭}}
こんにちは。
"Shine A Light"運営事務局です。
昨日の作業会のアーカイブを会員サイトにアップしました！
参加できなかった方や復習にご活用くださいませ。
＝＝＝＝＝＝
【会員サイト】＞＞
{{会員サイトURL}}
＝＝＝＝＝＝
ご案内は以上です。
ご不明点のお問い合わせは
当メールの返信にてご連絡ください。
{{署名}}</t>
        </is>
      </c>
      <c r="H10" s="5" t="inlineStr">
        <is>
          <t>開催翌日 朝</t>
        </is>
      </c>
    </row>
    <row r="11" ht="240" customHeight="1">
      <c r="A11" s="5" t="inlineStr">
        <is>
          <t>T-L-01</t>
        </is>
      </c>
      <c r="B11" s="5" t="inlineStr">
        <is>
          <t>講義配信</t>
        </is>
      </c>
      <c r="C11" s="5" t="inlineStr">
        <is>
          <t>講義配信</t>
        </is>
      </c>
      <c r="D11" s="5" t="inlineStr">
        <is>
          <t>開催日 + 0</t>
        </is>
      </c>
      <c r="E11" s="5" t="inlineStr">
        <is>
          <t>07:00</t>
        </is>
      </c>
      <c r="F11" s="5" t="inlineStr">
        <is>
          <t>【重要】{{イベント名}}をお届けいたします</t>
        </is>
      </c>
      <c r="G11" s="5" t="inlineStr">
        <is>
          <t>{{冒頭}}
こんにちは
Shine A Light 運営事務局です。
本日、{{イベント名}}を会員サイトにアップいたしました。
＝＝＝＝＝＝＝
【会員サイト】＞＞
{{会員サイトURL}}
会員サイトへのアクセス方法＞＞
{{会員サイトアクセス方法}}
＝＝＝＝＝＝＝
{{備考}}
ご案内は以上です。
ご不明点のお問い合わせは
当メールの返信にてご連絡ください。
{{署名}}</t>
        </is>
      </c>
      <c r="H11" s="5" t="inlineStr">
        <is>
          <t>配信当日 朝</t>
        </is>
      </c>
    </row>
    <row r="12" ht="240" customHeight="1">
      <c r="A12" s="5" t="inlineStr">
        <is>
          <t>T-D-01</t>
        </is>
      </c>
      <c r="B12" s="5" t="inlineStr">
        <is>
          <t>締切系</t>
        </is>
      </c>
      <c r="C12" s="5" t="inlineStr">
        <is>
          <t>受付開始</t>
        </is>
      </c>
      <c r="D12" s="5" t="inlineStr">
        <is>
          <t>受付開始日 + 0</t>
        </is>
      </c>
      <c r="E12" s="5" t="inlineStr">
        <is>
          <t>07:00</t>
        </is>
      </c>
      <c r="F12" s="5" t="inlineStr">
        <is>
          <t>【受付開始】{{イベント名}}</t>
        </is>
      </c>
      <c r="G12" s="5" t="inlineStr">
        <is>
          <t>{{冒頭}}
（本文はイベントごとに個別編集する想定：受付開始のお知らせ）
ご案内は以上です。
ご不明点のお問い合わせは
当メールの返信にてご連絡ください。
{{署名}}</t>
        </is>
      </c>
      <c r="H12" s="5" t="inlineStr">
        <is>
          <t>受付開始日 朝</t>
        </is>
      </c>
    </row>
    <row r="13" ht="240" customHeight="1">
      <c r="A13" s="5" t="inlineStr">
        <is>
          <t>T-D-02</t>
        </is>
      </c>
      <c r="B13" s="5" t="inlineStr">
        <is>
          <t>締切系</t>
        </is>
      </c>
      <c r="C13" s="5" t="inlineStr">
        <is>
          <t>締切前日</t>
        </is>
      </c>
      <c r="D13" s="5" t="inlineStr">
        <is>
          <t>締切日 - 1</t>
        </is>
      </c>
      <c r="E13" s="5" t="inlineStr">
        <is>
          <t>07:00</t>
        </is>
      </c>
      <c r="F13" s="5" t="inlineStr">
        <is>
          <t>【明日締切】{{イベント名}}</t>
        </is>
      </c>
      <c r="G13" s="5" t="inlineStr">
        <is>
          <t>{{冒頭}}
明日 {{締切日表記}} が {{イベント名}} の締切です。
ご案内は以上です。
ご不明点のお問い合わせは
当メールの返信にてご連絡ください。
{{署名}}</t>
        </is>
      </c>
      <c r="H13" s="5" t="inlineStr">
        <is>
          <t>締切前日</t>
        </is>
      </c>
    </row>
    <row r="14" ht="240" customHeight="1">
      <c r="A14" s="5" t="inlineStr">
        <is>
          <t>T-D-03</t>
        </is>
      </c>
      <c r="B14" s="5" t="inlineStr">
        <is>
          <t>締切系</t>
        </is>
      </c>
      <c r="C14" s="5" t="inlineStr">
        <is>
          <t>締切当日</t>
        </is>
      </c>
      <c r="D14" s="5" t="inlineStr">
        <is>
          <t>締切日 + 0</t>
        </is>
      </c>
      <c r="E14" s="5" t="inlineStr">
        <is>
          <t>07:00</t>
        </is>
      </c>
      <c r="F14" s="5" t="inlineStr">
        <is>
          <t>【本日締切】{{イベント名}}</t>
        </is>
      </c>
      <c r="G14" s="5" t="inlineStr">
        <is>
          <t>{{冒頭}}
本日 {{締切日表記}} が {{イベント名}} の締切です。
ご案内は以上です。
ご不明点のお問い合わせは
当メールの返信にてご連絡ください。
{{署名}}</t>
        </is>
      </c>
      <c r="H14" s="5" t="inlineStr">
        <is>
          <t>締切当日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5" customWidth="1" min="3" max="3"/>
  </cols>
  <sheetData>
    <row r="1">
      <c r="A1" s="4" t="inlineStr">
        <is>
          <t>差込タグ</t>
        </is>
      </c>
      <c r="B1" s="4" t="inlineStr">
        <is>
          <t>取得元</t>
        </is>
      </c>
      <c r="C1" s="4" t="inlineStr">
        <is>
          <t>例 / 説明</t>
        </is>
      </c>
    </row>
    <row r="2">
      <c r="A2" s="6" t="inlineStr">
        <is>
          <t>{{期}}</t>
        </is>
      </c>
      <c r="B2" s="6" t="inlineStr">
        <is>
          <t>イベント日程シート</t>
        </is>
      </c>
      <c r="C2" s="6" t="inlineStr">
        <is>
          <t>19</t>
        </is>
      </c>
    </row>
    <row r="3">
      <c r="A3" s="6" t="inlineStr">
        <is>
          <t>{{イベント名}}</t>
        </is>
      </c>
      <c r="B3" s="6" t="inlineStr">
        <is>
          <t>イベント日程シート</t>
        </is>
      </c>
      <c r="C3" s="6" t="inlineStr">
        <is>
          <t>2/26グルコン</t>
        </is>
      </c>
    </row>
    <row r="4">
      <c r="A4" s="6" t="inlineStr">
        <is>
          <t>{{イベント種別}}</t>
        </is>
      </c>
      <c r="B4" s="6" t="inlineStr">
        <is>
          <t>イベント日程シート</t>
        </is>
      </c>
      <c r="C4" s="6" t="inlineStr">
        <is>
          <t>グルコン / ビギナーグルコン / 課題作業会 / 講義配信 …</t>
        </is>
      </c>
    </row>
    <row r="5">
      <c r="A5" s="6" t="inlineStr">
        <is>
          <t>{{開催日}}</t>
        </is>
      </c>
      <c r="B5" s="6" t="inlineStr">
        <is>
          <t>イベント日程シート</t>
        </is>
      </c>
      <c r="C5" s="6" t="inlineStr">
        <is>
          <t>2026/2/26</t>
        </is>
      </c>
    </row>
    <row r="6">
      <c r="A6" s="6" t="inlineStr">
        <is>
          <t>{{開催月}}</t>
        </is>
      </c>
      <c r="B6" s="6" t="inlineStr">
        <is>
          <t>自動（開催日から）</t>
        </is>
      </c>
      <c r="C6" s="6" t="inlineStr">
        <is>
          <t>2</t>
        </is>
      </c>
    </row>
    <row r="7">
      <c r="A7" s="6" t="inlineStr">
        <is>
          <t>{{開催日D}}</t>
        </is>
      </c>
      <c r="B7" s="6" t="inlineStr">
        <is>
          <t>自動（開催日から）</t>
        </is>
      </c>
      <c r="C7" s="6" t="inlineStr">
        <is>
          <t>26</t>
        </is>
      </c>
    </row>
    <row r="8">
      <c r="A8" s="6" t="inlineStr">
        <is>
          <t>{{曜日}}</t>
        </is>
      </c>
      <c r="B8" s="6" t="inlineStr">
        <is>
          <t>自動（開催日から）</t>
        </is>
      </c>
      <c r="C8" s="6" t="inlineStr">
        <is>
          <t>木</t>
        </is>
      </c>
    </row>
    <row r="9">
      <c r="A9" s="6" t="inlineStr">
        <is>
          <t>{{開始時刻H}}</t>
        </is>
      </c>
      <c r="B9" s="6" t="inlineStr">
        <is>
          <t>自動（開始時刻から）</t>
        </is>
      </c>
      <c r="C9" s="6" t="inlineStr">
        <is>
          <t>10</t>
        </is>
      </c>
    </row>
    <row r="10">
      <c r="A10" s="6" t="inlineStr">
        <is>
          <t>{{終了時刻H}}</t>
        </is>
      </c>
      <c r="B10" s="6" t="inlineStr">
        <is>
          <t>自動（終了時刻から）</t>
        </is>
      </c>
      <c r="C10" s="6" t="inlineStr">
        <is>
          <t>11</t>
        </is>
      </c>
    </row>
    <row r="11">
      <c r="A11" s="6" t="inlineStr">
        <is>
          <t>{{担当講師}}</t>
        </is>
      </c>
      <c r="B11" s="6" t="inlineStr">
        <is>
          <t>イベント日程シート</t>
        </is>
      </c>
      <c r="C11" s="6" t="inlineStr">
        <is>
          <t>ヴォンドラ髙橋若菜 / 山下直子先生 …</t>
        </is>
      </c>
    </row>
    <row r="12">
      <c r="A12" s="6" t="inlineStr">
        <is>
          <t>{{対象}}</t>
        </is>
      </c>
      <c r="B12" s="6" t="inlineStr">
        <is>
          <t>イベント日程シート</t>
        </is>
      </c>
      <c r="C12" s="6" t="inlineStr">
        <is>
          <t>19期 / 19期継続 など</t>
        </is>
      </c>
    </row>
    <row r="13">
      <c r="A13" s="6" t="inlineStr">
        <is>
          <t>{{Zoomリンク}}</t>
        </is>
      </c>
      <c r="B13" s="6" t="inlineStr">
        <is>
          <t>イベント日程シート</t>
        </is>
      </c>
      <c r="C13" s="6" t="inlineStr">
        <is>
          <t>https://us02web.zoom.us/j/...</t>
        </is>
      </c>
    </row>
    <row r="14">
      <c r="A14" s="6" t="inlineStr">
        <is>
          <t>{{ミーティングID}}</t>
        </is>
      </c>
      <c r="B14" s="6" t="inlineStr">
        <is>
          <t>イベント日程シート</t>
        </is>
      </c>
      <c r="C14" s="6" t="inlineStr">
        <is>
          <t>831 2521 3095</t>
        </is>
      </c>
    </row>
    <row r="15">
      <c r="A15" s="6" t="inlineStr">
        <is>
          <t>{{事前フォームURL}}</t>
        </is>
      </c>
      <c r="B15" s="6" t="inlineStr">
        <is>
          <t>イベント日程シート</t>
        </is>
      </c>
      <c r="C15" s="6" t="inlineStr">
        <is>
          <t>https://ws.formzu.net/dist/...</t>
        </is>
      </c>
    </row>
    <row r="16">
      <c r="A16" s="6" t="inlineStr">
        <is>
          <t>{{フォーム締切表記}}</t>
        </is>
      </c>
      <c r="B16" s="6" t="inlineStr">
        <is>
          <t>自動（フォーム締切日時から）</t>
        </is>
      </c>
      <c r="C16" s="6" t="inlineStr">
        <is>
          <t>2月25日（水）12時</t>
        </is>
      </c>
    </row>
    <row r="17">
      <c r="A17" s="6" t="inlineStr">
        <is>
          <t>{{今日日付表記}}</t>
        </is>
      </c>
      <c r="B17" s="6" t="inlineStr">
        <is>
          <t>自動（実行日から）</t>
        </is>
      </c>
      <c r="C17" s="6" t="inlineStr">
        <is>
          <t>2月25日（水）</t>
        </is>
      </c>
    </row>
    <row r="18">
      <c r="A18" s="6" t="inlineStr">
        <is>
          <t>{{アーカイブURL}}</t>
        </is>
      </c>
      <c r="B18" s="6" t="inlineStr">
        <is>
          <t>イベント日程シート</t>
        </is>
      </c>
      <c r="C18" s="6" t="inlineStr">
        <is>
          <t>https://vimeo.com/...</t>
        </is>
      </c>
    </row>
    <row r="19">
      <c r="A19" s="6" t="inlineStr">
        <is>
          <t>{{備考}}</t>
        </is>
      </c>
      <c r="B19" s="6" t="inlineStr">
        <is>
          <t>イベント日程シート</t>
        </is>
      </c>
      <c r="C19" s="6" t="inlineStr">
        <is>
          <t>第1回：ブランディング など</t>
        </is>
      </c>
    </row>
    <row r="20">
      <c r="A20" s="6" t="inlineStr">
        <is>
          <t>{{冒頭}}</t>
        </is>
      </c>
      <c r="B20" s="6" t="inlineStr">
        <is>
          <t>共通設定（対象別）</t>
        </is>
      </c>
      <c r="C20" s="6" t="inlineStr">
        <is>
          <t>※このメールは、『19期"Shine A Light"』の皆様にお送りしております。</t>
        </is>
      </c>
    </row>
    <row r="21">
      <c r="A21" s="6" t="inlineStr">
        <is>
          <t>{{署名}}</t>
        </is>
      </c>
      <c r="B21" s="6" t="inlineStr">
        <is>
          <t>共通設定</t>
        </is>
      </c>
      <c r="C21" s="6" t="inlineStr">
        <is>
          <t>Shine A Light 運営事務局 …</t>
        </is>
      </c>
    </row>
    <row r="22">
      <c r="A22" s="6" t="inlineStr">
        <is>
          <t>{{会員サイトURL}}</t>
        </is>
      </c>
      <c r="B22" s="6" t="inlineStr">
        <is>
          <t>共通設定</t>
        </is>
      </c>
      <c r="C22" s="6" t="inlineStr">
        <is>
          <t>https://shinealight-xpvyol.club.hotmart.com/login</t>
        </is>
      </c>
    </row>
    <row r="23">
      <c r="A23" s="6" t="inlineStr">
        <is>
          <t>{{会員サイトアクセス方法}}</t>
        </is>
      </c>
      <c r="B23" s="6" t="inlineStr">
        <is>
          <t>共通設定</t>
        </is>
      </c>
      <c r="C23" s="6" t="inlineStr">
        <is>
          <t>https://vimeo.com/1161412964/...</t>
        </is>
      </c>
    </row>
    <row r="24">
      <c r="A24" s="6" t="inlineStr">
        <is>
          <t>{{FBグループURL}}</t>
        </is>
      </c>
      <c r="B24" s="6" t="inlineStr">
        <is>
          <t>共通設定</t>
        </is>
      </c>
      <c r="C24" s="6" t="inlineStr">
        <is>
          <t>https://www.facebook.com/groups/...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2026-08-07T09:28:25Z</dcterms:created>
  <dcterms:modified xsi:type="dcterms:W3CDTF">2026-08-07T09:28:25Z</dcterms:modified>
</cp:coreProperties>
</file>