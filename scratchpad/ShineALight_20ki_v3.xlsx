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い方" sheetId="1" state="visible" r:id="rId1"/>
    <sheet name="基本設定" sheetId="2" state="visible" r:id="rId2"/>
    <sheet name="スケジュール" sheetId="3" state="visible" r:id="rId3"/>
    <sheet name="メールテンプレー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1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b val="1"/>
      <color rgb="001F3864"/>
      <sz val="11"/>
    </font>
    <font>
      <name val="Arial"/>
      <sz val="10"/>
    </font>
    <font>
      <name val="Arial"/>
      <b val="1"/>
      <color theme="1"/>
    </font>
    <font>
      <name val="Arial"/>
      <color theme="1"/>
    </font>
    <font>
      <name val="Arial"/>
      <color rgb="FF1155CC"/>
    </font>
    <font>
      <name val="Arial"/>
      <b val="1"/>
      <color rgb="00FFFFFF"/>
      <sz val="12"/>
    </font>
    <font>
      <name val="Arial"/>
      <b val="1"/>
      <sz val="10"/>
    </font>
    <font>
      <name val="Arial"/>
      <i val="1"/>
      <color rgb="00595959"/>
      <sz val="9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5" fillId="2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7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10" fillId="3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system</author>
  </authors>
  <commentList>
    <comment ref="C1" authorId="0" shapeId="0">
      <text>
        <t>=IF(B2="","",TEXT(B2,"M/d（aaa）")) で自動計算</t>
      </text>
    </comment>
    <comment ref="N1" authorId="0" shapeId="0">
      <text>
        <t>選択肢：若菜グルコン共通 / 若菜マンデー共通 / 個別 / 未定(サポート講師待ち) / Zoomなし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00" customWidth="1" min="3" max="3"/>
  </cols>
  <sheetData>
    <row r="1"/>
    <row r="2">
      <c r="B2" s="1" t="inlineStr">
        <is>
          <t>Shine A Light 20期 自動化マスタ</t>
        </is>
      </c>
    </row>
    <row r="3" ht="22" customHeight="1">
      <c r="B3" s="2" t="n"/>
      <c r="C3" s="3" t="n"/>
    </row>
    <row r="4" ht="45" customHeight="1">
      <c r="B4" s="2" t="inlineStr">
        <is>
          <t>このファイルの位置づけ</t>
        </is>
      </c>
      <c r="C4" s="3" t="inlineStr">
        <is>
          <t>20期の講座運営を、Gmail下書き自動作成＋Chatwork通知＋フォーム自動開閉で
回すためのマスタデータです。GAS（Google Apps Script）がこのファイルを毎朝読んで動きます。</t>
        </is>
      </c>
    </row>
    <row r="5" ht="22" customHeight="1">
      <c r="B5" s="2" t="n"/>
      <c r="C5" s="3" t="n"/>
    </row>
    <row r="6" ht="22" customHeight="1">
      <c r="B6" s="2" t="inlineStr">
        <is>
          <t>シート構成</t>
        </is>
      </c>
      <c r="C6" s="3" t="n"/>
    </row>
    <row r="7" ht="45" customHeight="1">
      <c r="B7" s="2" t="inlineStr">
        <is>
          <t>① 基本設定</t>
        </is>
      </c>
      <c r="C7" s="3" t="inlineStr">
        <is>
          <t>全メール共通で使う値（会員サイト、Zoomプール、フォームURL、Chatwork設定、署名 など）。
期をまたいで基本変わらない値の置き場。</t>
        </is>
      </c>
    </row>
    <row r="8" ht="45" customHeight="1">
      <c r="B8" s="2" t="inlineStr">
        <is>
          <t>② タスク管理</t>
        </is>
      </c>
      <c r="C8" s="3" t="inlineStr">
        <is>
          <t>20期の全イベントを1行1件で管理（29件入力済み）。
GASが毎朝ここを読んで「今日は各イベントの何のメール送信日か」を判定します。</t>
        </is>
      </c>
    </row>
    <row r="9" ht="45" customHeight="1">
      <c r="B9" s="2" t="inlineStr">
        <is>
          <t>③ メールテンプレート</t>
        </is>
      </c>
      <c r="C9" s="3" t="inlineStr">
        <is>
          <t>イベント種別 × タイミング（3日前／前日／当日／アーカイブ など）ごとの雛形。
{{差込項目}} が自動置換されます。</t>
        </is>
      </c>
    </row>
    <row r="10" ht="22" customHeight="1">
      <c r="B10" s="2" t="n"/>
      <c r="C10" s="3" t="n"/>
    </row>
    <row r="11" ht="22" customHeight="1">
      <c r="B11" s="2" t="inlineStr">
        <is>
          <t>色分けルール</t>
        </is>
      </c>
      <c r="C11" s="3" t="n"/>
    </row>
    <row r="12" ht="22" customHeight="1">
      <c r="B12" s="2" t="inlineStr">
        <is>
          <t>🟡 黄色セル</t>
        </is>
      </c>
      <c r="C12" s="3" t="inlineStr">
        <is>
          <t>あなたが埋める場所（Zoomリンク、フォームURL、Chatwork設定など）</t>
        </is>
      </c>
    </row>
    <row r="13" ht="22" customHeight="1">
      <c r="B13" s="2" t="inlineStr">
        <is>
          <t>🟢 緑セル</t>
        </is>
      </c>
      <c r="C13" s="3" t="inlineStr">
        <is>
          <t>今回私が追加した列／行（既存データを触らず追加）</t>
        </is>
      </c>
    </row>
    <row r="14" ht="22" customHeight="1">
      <c r="B14" s="2" t="inlineStr">
        <is>
          <t>🩶 灰色セル</t>
        </is>
      </c>
      <c r="C14" s="3" t="inlineStr">
        <is>
          <t>自動計算・参照専用（触らない）</t>
        </is>
      </c>
    </row>
    <row r="15" ht="22" customHeight="1">
      <c r="B15" s="2" t="inlineStr">
        <is>
          <t>⬜ 白セル</t>
        </is>
      </c>
      <c r="C15" s="3" t="inlineStr">
        <is>
          <t>既存のデータ（あなたが元々埋めていた場所）</t>
        </is>
      </c>
    </row>
    <row r="16" ht="22" customHeight="1">
      <c r="B16" s="2" t="n"/>
      <c r="C16" s="3" t="n"/>
    </row>
    <row r="17" ht="22" customHeight="1">
      <c r="B17" s="2" t="inlineStr">
        <is>
          <t>最初にやること</t>
        </is>
      </c>
      <c r="C17" s="3" t="n"/>
    </row>
    <row r="18" ht="70" customHeight="1">
      <c r="B18" s="2" t="inlineStr">
        <is>
          <t>① 基本設定 の🟡を埋める</t>
        </is>
      </c>
      <c r="C18" s="3" t="inlineStr">
        <is>
          <t>・グルコン共通ZoomURL＋ミーティングID（若菜先生のグルコン専用リンク）
・キャッチアップマンデー共通ZoomURL＋ID（若菜先生のマンデー専用リンク）
・グルコン／ビギナー／課題作業会 事前フォームURL（3本）
・Chatwork APIトークン＋ルームID＋メンション先
・送信元アドレス</t>
        </is>
      </c>
    </row>
    <row r="19" ht="70" customHeight="1">
      <c r="B19" s="2" t="inlineStr">
        <is>
          <t>② タスク管理 のZoomソース列（🟢）を確認</t>
        </is>
      </c>
      <c r="C19" s="3" t="inlineStr">
        <is>
          <t>自動で設定済み。以下ルールで自動判定しています：
・グルコン → 「若菜グルコン共通」
・キャッチアップマンデー → 「若菜マンデー共通」
・キャッチアップウェンズデー／サポート講師ビギナーグルコン → 「未定（サポート講師待ち）」
・オリエンテーション／課題作業会 → 「個別」（別途Zoomリンク列に直接入力）
・動画配信 → 「Zoomなし」</t>
        </is>
      </c>
    </row>
    <row r="20" ht="45" customHeight="1">
      <c r="B20" s="2" t="inlineStr">
        <is>
          <t>③ メールテンプレート を読んで直したい部分だけ調整</t>
        </is>
      </c>
      <c r="C20" s="3" t="inlineStr">
        <is>
          <t>19期の実データを元に本文込みで埋めておきました。
文言を変えたい箇所があれば直してOK（既存のオリエンテーション3本はそのまま残しています）。</t>
        </is>
      </c>
    </row>
    <row r="21" ht="22" customHeight="1">
      <c r="B21" s="2" t="n"/>
      <c r="C21" s="3" t="n"/>
    </row>
    <row r="22" ht="45" customHeight="1">
      <c r="B22" s="2" t="inlineStr">
        <is>
          <t>Step 2（次回）</t>
        </is>
      </c>
      <c r="C22" s="3" t="inlineStr">
        <is>
          <t>このファイルがGoogleスプレッドシートにアップロードされ、内容が確認できたら、
GASコードを書きます。まずはグルコン系（一番数が多い）だけで動かして、動作確認後に他を追加。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2"/>
  <sheetViews>
    <sheetView workbookViewId="0">
      <selection activeCell="A1" sqref="A1"/>
    </sheetView>
  </sheetViews>
  <sheetFormatPr baseColWidth="8" defaultRowHeight="15"/>
  <cols>
    <col width="32" customWidth="1" min="1" max="1"/>
    <col width="70" customWidth="1" min="2" max="2"/>
    <col width="30" customWidth="1" min="3" max="3"/>
  </cols>
  <sheetData>
    <row r="1">
      <c r="A1" s="4" t="inlineStr">
        <is>
          <t>項目</t>
        </is>
      </c>
      <c r="B1" s="4" t="inlineStr">
        <is>
          <t>設定値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>
      <c r="A2" s="5" t="inlineStr">
        <is>
          <t>期</t>
        </is>
      </c>
      <c r="B2" s="6" t="inlineStr">
        <is>
          <t>20期</t>
        </is>
      </c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>
      <c r="A3" s="5" t="inlineStr">
        <is>
          <t>会員サイト</t>
        </is>
      </c>
      <c r="B3" s="6" t="inlineStr">
        <is>
          <t>【会員サイト】
こちらからログイン＞＞
https://hotmart.com/en/club/shinealight-xpvyol/products/2188687
会員サイトのアクセス方法（スマホ版）
https://vimeo.com/1196532375/9eb026c49b?share=copy&amp;fl=sv&amp;fe=ci
会員サイトのアクセス方法　（パソコン版）
https://vimeo.com/1196532358/66a42376ec?share=copy&amp;fl=sv&amp;fe=ci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>
      <c r="A4" s="5" t="n"/>
      <c r="B4" s="7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5" t="inlineStr">
        <is>
          <t>第1回目動画配信日</t>
        </is>
      </c>
      <c r="B5" s="7">
        <f t="array" ref="B5">TEXT(XLOOKUP("第1回 動画配信", 'タスク管理'!$A$2:$A$29, 'タスク管理'!$B$2:$B$29), "m月d日(aaa)")</f>
        <v/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5" t="inlineStr">
        <is>
          <t>第1回動画配信3日後</t>
        </is>
      </c>
      <c r="B6" s="5">
        <f t="array" ref="B6">TEXT(XLOOKUP("第1回 動画配信", 'タスク管理'!$A$2:$A$29, 'タスク管理'!$B$2:$B$29) + 3, "m月d日(aaa)")</f>
        <v/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8" t="inlineStr">
        <is>
          <t>── Zoomリンク・プール（共通Zoom用）──</t>
        </is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9" t="inlineStr">
        <is>
          <t>グルコン共通ZoomURL</t>
        </is>
      </c>
      <c r="B9" s="10" t="inlineStr">
        <is>
          <t>https://us02web.zoom.us/j/83540214061</t>
        </is>
      </c>
      <c r="C9" s="11" t="inlineStr">
        <is>
          <t>🟡 若菜先生グルコン全回で使う1本</t>
        </is>
      </c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9" t="inlineStr">
        <is>
          <t>グルコン共通ミーティングID</t>
        </is>
      </c>
      <c r="B10" s="10" t="inlineStr">
        <is>
          <t>835 4021 4061</t>
        </is>
      </c>
      <c r="C10" s="11" t="inlineStr">
        <is>
          <t>🟡</t>
        </is>
      </c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9" t="inlineStr">
        <is>
          <t>キャッチアップマンデー共通ZoomURL</t>
        </is>
      </c>
      <c r="B11" s="10" t="inlineStr">
        <is>
          <t>https://us02web.zoom.us/j/84912148179</t>
        </is>
      </c>
      <c r="C11" s="11" t="inlineStr">
        <is>
          <t>🟡 若菜先生マンデー全回で使う1本</t>
        </is>
      </c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9" t="inlineStr">
        <is>
          <t>キャッチアップマンデー共通ミーティングID</t>
        </is>
      </c>
      <c r="B12" s="10" t="inlineStr">
        <is>
          <t>849 1214 8179</t>
        </is>
      </c>
      <c r="C12" s="11" t="inlineStr">
        <is>
          <t>🟡</t>
        </is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9" t="inlineStr">
        <is>
          <t>オリエンテーションZoomURL</t>
        </is>
      </c>
      <c r="B13" s="10" t="inlineStr">
        <is>
          <t>https://us02web.zoom.us/j/82603439180</t>
        </is>
      </c>
      <c r="C13" s="11" t="inlineStr">
        <is>
          <t>既存テンプレから移設</t>
        </is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9" t="inlineStr">
        <is>
          <t>オリエンテーションミーティングID</t>
        </is>
      </c>
      <c r="B14" s="10" t="inlineStr">
        <is>
          <t>826 0343 9180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8" t="inlineStr">
        <is>
          <t>── 事前フォームURL ──</t>
        </is>
      </c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9" t="inlineStr">
        <is>
          <t>グルコン事前フォームURL</t>
        </is>
      </c>
      <c r="B16" s="10" t="inlineStr">
        <is>
          <t>https://ws.formzu.net/dist/S16631693/</t>
        </is>
      </c>
      <c r="C16" s="11" t="inlineStr">
        <is>
          <t>🟡 若菜グルコン用アンケート</t>
        </is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9" t="inlineStr">
        <is>
          <t>ビギナーグルコン事前フォームURL</t>
        </is>
      </c>
      <c r="B17" s="10" t="inlineStr">
        <is>
          <t>https://ws.formzu.net/dist/S16942447/</t>
        </is>
      </c>
      <c r="C17" s="11" t="inlineStr">
        <is>
          <t>🟡 サポート講師ビギナーグルコン用</t>
        </is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9" t="inlineStr">
        <is>
          <t>課題作業会事前フォームURL</t>
        </is>
      </c>
      <c r="B18" s="10" t="inlineStr">
        <is>
          <t>https://ws.formzu.net/fgen/S99301863/</t>
        </is>
      </c>
      <c r="C18" s="11" t="inlineStr">
        <is>
          <t>🟡</t>
        </is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8" t="inlineStr">
        <is>
          <t>── Chatwork設定 ──</t>
        </is>
      </c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9" t="inlineStr">
        <is>
          <t>Chatwork APIトークン</t>
        </is>
      </c>
      <c r="B20" s="12" t="inlineStr">
        <is>
          <t>(Google Sheetsで直接貼り付け／推奨はGASスクリプトプロパティ)</t>
        </is>
      </c>
      <c r="C20" s="11" t="inlineStr">
        <is>
          <t>🟡 Chatwork設定＞API から取得</t>
        </is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>
      <c r="A21" s="9" t="inlineStr">
        <is>
          <t>Chatwork ルームID(事務局)</t>
        </is>
      </c>
      <c r="B21" s="10" t="inlineStr">
        <is>
          <t>444552021</t>
        </is>
      </c>
      <c r="C21" s="11" t="inlineStr">
        <is>
          <t>🟡 通知投稿先ルームのID</t>
        </is>
      </c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>
      <c r="A22" s="9" t="inlineStr">
        <is>
          <t>Chatwork メンション先</t>
        </is>
      </c>
      <c r="B22" s="10" t="inlineStr">
        <is>
          <t>[To:5925962] 藤井みあ</t>
        </is>
      </c>
      <c r="C22" s="11" t="inlineStr">
        <is>
          <t>🟡 例：[To:1234567] みあさん</t>
        </is>
      </c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>
      <c r="A23" s="8" t="inlineStr">
        <is>
          <t>── 差出人・署名 ──</t>
        </is>
      </c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>
      <c r="A24" s="9" t="inlineStr">
        <is>
          <t>事務局差出人名</t>
        </is>
      </c>
      <c r="B24" s="10" t="inlineStr">
        <is>
          <t>Shine A Light 運営事務局</t>
        </is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>
      <c r="A25" s="9" t="inlineStr">
        <is>
          <t>事務局アドレス</t>
        </is>
      </c>
      <c r="B25" s="10" t="inlineStr">
        <is>
          <t>shinealightonlineschool@gmail.com</t>
        </is>
      </c>
      <c r="C25" s="11" t="inlineStr">
        <is>
          <t>🟡 実際の送信元アドレス</t>
        </is>
      </c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>
      <c r="A26" s="9" t="inlineStr">
        <is>
          <t>共通署名(本文末尾)</t>
        </is>
      </c>
      <c r="B26" s="10" t="inlineStr">
        <is>
          <t>---
Shine A Light 運営事務局
Mail: shinealightonlineschool@gmail.com</t>
        </is>
      </c>
      <c r="C26" s="11" t="inlineStr">
        <is>
          <t>🟡 実運用に合わせて調整</t>
        </is>
      </c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>
      <c r="A27" s="8" t="inlineStr">
        <is>
          <t>── GAS実行時刻 ──</t>
        </is>
      </c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>
      <c r="A28" s="9" t="inlineStr">
        <is>
          <t>下書き作成時刻</t>
        </is>
      </c>
      <c r="B28" s="10" t="inlineStr">
        <is>
          <t>07:00</t>
        </is>
      </c>
      <c r="C28" s="11" t="inlineStr">
        <is>
          <t>毎朝この時刻にGASが動く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  <row r="1001">
      <c r="A1001" s="5" t="n"/>
      <c r="B1001" s="5" t="n"/>
      <c r="C1001" s="5" t="n"/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  <c r="O1001" s="5" t="n"/>
      <c r="P1001" s="5" t="n"/>
      <c r="Q1001" s="5" t="n"/>
      <c r="R1001" s="5" t="n"/>
      <c r="S1001" s="5" t="n"/>
      <c r="T1001" s="5" t="n"/>
      <c r="U1001" s="5" t="n"/>
      <c r="V1001" s="5" t="n"/>
      <c r="W1001" s="5" t="n"/>
      <c r="X1001" s="5" t="n"/>
      <c r="Y1001" s="5" t="n"/>
      <c r="Z1001" s="5" t="n"/>
    </row>
    <row r="1002">
      <c r="A1002" s="5" t="n"/>
      <c r="B1002" s="5" t="n"/>
      <c r="C1002" s="5" t="n"/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  <c r="O1002" s="5" t="n"/>
      <c r="P1002" s="5" t="n"/>
      <c r="Q1002" s="5" t="n"/>
      <c r="R1002" s="5" t="n"/>
      <c r="S1002" s="5" t="n"/>
      <c r="T1002" s="5" t="n"/>
      <c r="U1002" s="5" t="n"/>
      <c r="V1002" s="5" t="n"/>
      <c r="W1002" s="5" t="n"/>
      <c r="X1002" s="5" t="n"/>
      <c r="Y1002" s="5" t="n"/>
      <c r="Z1002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0" customWidth="1" min="4" max="4"/>
    <col width="10" customWidth="1" min="5" max="5"/>
    <col width="18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8" customWidth="1" min="13" max="13"/>
    <col width="20" customWidth="1" min="14" max="14"/>
    <col width="40" customWidth="1" min="15" max="15"/>
    <col width="16" customWidth="1" min="16" max="16"/>
    <col width="12" customWidth="1" min="17" max="17"/>
  </cols>
  <sheetData>
    <row r="1" ht="32" customHeight="1">
      <c r="A1" s="13" t="inlineStr">
        <is>
          <t>内容</t>
        </is>
      </c>
      <c r="B1" s="13" t="inlineStr">
        <is>
          <t>日程</t>
        </is>
      </c>
      <c r="C1" s="13" t="inlineStr">
        <is>
          <t>日程短</t>
        </is>
      </c>
      <c r="D1" s="13" t="inlineStr">
        <is>
          <t>開始時間</t>
        </is>
      </c>
      <c r="E1" s="13" t="inlineStr">
        <is>
          <t>終了時間</t>
        </is>
      </c>
      <c r="F1" s="13" t="inlineStr">
        <is>
          <t>担当者</t>
        </is>
      </c>
      <c r="G1" s="13" t="inlineStr">
        <is>
          <t>メールセット</t>
        </is>
      </c>
      <c r="H1" s="13" t="inlineStr">
        <is>
          <t>メール3日前</t>
        </is>
      </c>
      <c r="I1" s="13" t="inlineStr">
        <is>
          <t>メール前日</t>
        </is>
      </c>
      <c r="J1" s="13" t="inlineStr">
        <is>
          <t>質問まとめ</t>
        </is>
      </c>
      <c r="K1" s="13" t="inlineStr">
        <is>
          <t>メール当日</t>
        </is>
      </c>
      <c r="L1" s="13" t="inlineStr">
        <is>
          <t>アーカイブ送付</t>
        </is>
      </c>
      <c r="M1" s="13" t="inlineStr">
        <is>
          <t>ID</t>
        </is>
      </c>
      <c r="N1" s="13" t="inlineStr">
        <is>
          <t>Zoomソース</t>
        </is>
      </c>
      <c r="O1" s="13" t="inlineStr">
        <is>
          <t>Zoomリンク</t>
        </is>
      </c>
      <c r="P1" s="13" t="inlineStr">
        <is>
          <t>ミーティングID</t>
        </is>
      </c>
      <c r="Q1" s="13" t="inlineStr">
        <is>
          <t>ステータス</t>
        </is>
      </c>
    </row>
    <row r="2">
      <c r="A2" s="12" t="inlineStr">
        <is>
          <t>オリエンテーション</t>
        </is>
      </c>
      <c r="B2" s="14" t="n">
        <v>46183</v>
      </c>
      <c r="C2" s="15">
        <f>IF(B2="","",TEXT(B2,"M/d（aaa）"))</f>
        <v/>
      </c>
      <c r="D2" s="12" t="inlineStr">
        <is>
          <t>21:00</t>
        </is>
      </c>
      <c r="E2" s="12" t="inlineStr">
        <is>
          <t>22:00</t>
        </is>
      </c>
      <c r="F2" s="12" t="inlineStr">
        <is>
          <t>若菜先生</t>
        </is>
      </c>
      <c r="G2" s="12">
        <f>G2-3</f>
        <v/>
      </c>
      <c r="H2" s="12" t="inlineStr">
        <is>
          <t>-</t>
        </is>
      </c>
      <c r="I2" s="12">
        <f>B2-1</f>
        <v/>
      </c>
      <c r="J2" s="12" t="inlineStr">
        <is>
          <t>-</t>
        </is>
      </c>
      <c r="K2" s="12">
        <f>B2</f>
        <v/>
      </c>
      <c r="L2" s="12">
        <f>IF(IFERROR(TIMEVALUE(D2),D2)&gt;TIME(13,0,0),B2+1,B2)</f>
        <v/>
      </c>
      <c r="M2" s="15" t="inlineStr">
        <is>
          <t>E001</t>
        </is>
      </c>
      <c r="N2" s="10" t="inlineStr">
        <is>
          <t>個別</t>
        </is>
      </c>
      <c r="O2" s="12" t="inlineStr">
        <is>
          <t>https://us02web.zoom.us/j/82603439180</t>
        </is>
      </c>
      <c r="P2" s="12" t="inlineStr">
        <is>
          <t>826 0343 9180</t>
        </is>
      </c>
      <c r="Q2" s="12" t="inlineStr">
        <is>
          <t>未実施</t>
        </is>
      </c>
    </row>
    <row r="3">
      <c r="A3" s="12" t="inlineStr">
        <is>
          <t>第1回 動画配信</t>
        </is>
      </c>
      <c r="B3" s="14" t="n">
        <v>46188</v>
      </c>
      <c r="C3" s="15">
        <f>IF(B3="","",TEXT(B3,"M/d（aaa）"))</f>
        <v/>
      </c>
      <c r="D3" s="12" t="inlineStr">
        <is>
          <t>07:00</t>
        </is>
      </c>
      <c r="E3" s="12" t="inlineStr"/>
      <c r="F3" s="12" t="inlineStr">
        <is>
          <t>メールのみ</t>
        </is>
      </c>
      <c r="G3" s="12">
        <f>I3-3</f>
        <v/>
      </c>
      <c r="H3" s="12" t="inlineStr">
        <is>
          <t>-</t>
        </is>
      </c>
      <c r="I3" s="12" t="inlineStr">
        <is>
          <t>-</t>
        </is>
      </c>
      <c r="J3" s="12" t="inlineStr">
        <is>
          <t>-</t>
        </is>
      </c>
      <c r="K3" s="12">
        <f>B3</f>
        <v/>
      </c>
      <c r="L3" s="12" t="inlineStr">
        <is>
          <t>-</t>
        </is>
      </c>
      <c r="M3" s="15" t="inlineStr">
        <is>
          <t>E002</t>
        </is>
      </c>
      <c r="N3" s="10" t="inlineStr">
        <is>
          <t>Zoomなし</t>
        </is>
      </c>
      <c r="O3" s="12" t="n"/>
      <c r="P3" s="12" t="n"/>
      <c r="Q3" s="12" t="inlineStr">
        <is>
          <t>未実施</t>
        </is>
      </c>
    </row>
    <row r="4">
      <c r="A4" s="12" t="inlineStr">
        <is>
          <t>キャッチアップウェンズデー</t>
        </is>
      </c>
      <c r="B4" s="14" t="n">
        <v>46190</v>
      </c>
      <c r="C4" s="15">
        <f>IF(B4="","",TEXT(B4,"M/d（aaa）"))</f>
        <v/>
      </c>
      <c r="D4" s="12" t="inlineStr">
        <is>
          <t>9:30</t>
        </is>
      </c>
      <c r="E4" s="12" t="inlineStr">
        <is>
          <t>11:00</t>
        </is>
      </c>
      <c r="F4" s="12" t="inlineStr">
        <is>
          <t>神保麻紀先生</t>
        </is>
      </c>
      <c r="G4" s="12">
        <f>G4-2</f>
        <v/>
      </c>
      <c r="H4" s="12" t="inlineStr">
        <is>
          <t>-</t>
        </is>
      </c>
      <c r="I4" s="12">
        <f>B4-1</f>
        <v/>
      </c>
      <c r="J4" s="12" t="inlineStr">
        <is>
          <t>-</t>
        </is>
      </c>
      <c r="K4" s="12">
        <f>B4</f>
        <v/>
      </c>
      <c r="L4" s="12">
        <f>IF(IFERROR(TIMEVALUE(D4),D4)&gt;TIME(13,0,0),B4+1,B4)</f>
        <v/>
      </c>
      <c r="M4" s="15" t="inlineStr">
        <is>
          <t>E003</t>
        </is>
      </c>
      <c r="N4" s="10" t="inlineStr">
        <is>
          <t>未定(サポート講師待ち)</t>
        </is>
      </c>
      <c r="O4" s="12" t="n"/>
      <c r="P4" s="12" t="n"/>
      <c r="Q4" s="12" t="inlineStr">
        <is>
          <t>未実施</t>
        </is>
      </c>
    </row>
    <row r="5">
      <c r="A5" s="12" t="inlineStr">
        <is>
          <t>サポート講師ビギナーグルコン</t>
        </is>
      </c>
      <c r="B5" s="14" t="n">
        <v>46192</v>
      </c>
      <c r="C5" s="15">
        <f>IF(B5="","",TEXT(B5,"M/d（aaa）"))</f>
        <v/>
      </c>
      <c r="D5" s="12" t="inlineStr">
        <is>
          <t>21:00</t>
        </is>
      </c>
      <c r="E5" s="12" t="inlineStr">
        <is>
          <t>22:00</t>
        </is>
      </c>
      <c r="F5" s="12" t="inlineStr">
        <is>
          <t>田中恵美子先生</t>
        </is>
      </c>
      <c r="G5" s="12">
        <f>F5-2</f>
        <v/>
      </c>
      <c r="H5" s="12">
        <f>B5-3</f>
        <v/>
      </c>
      <c r="I5" s="12">
        <f>B5-1</f>
        <v/>
      </c>
      <c r="J5" s="12">
        <f>G5</f>
        <v/>
      </c>
      <c r="K5" s="12">
        <f>B5</f>
        <v/>
      </c>
      <c r="L5" s="12">
        <f>IF(IFERROR(TIMEVALUE(D5),D5)&gt;TIME(13,0,0),B5+1,B5)</f>
        <v/>
      </c>
      <c r="M5" s="15" t="inlineStr">
        <is>
          <t>E004</t>
        </is>
      </c>
      <c r="N5" s="10" t="inlineStr">
        <is>
          <t>未定(サポート講師待ち)</t>
        </is>
      </c>
      <c r="O5" s="12" t="n"/>
      <c r="P5" s="12" t="n"/>
      <c r="Q5" s="12" t="inlineStr">
        <is>
          <t>未実施</t>
        </is>
      </c>
    </row>
    <row r="6">
      <c r="A6" s="12" t="inlineStr">
        <is>
          <t>キャッチアップマンデー</t>
        </is>
      </c>
      <c r="B6" s="14" t="n">
        <v>46195</v>
      </c>
      <c r="C6" s="15">
        <f>IF(B6="","",TEXT(B6,"M/d（aaa）"))</f>
        <v/>
      </c>
      <c r="D6" s="12" t="inlineStr">
        <is>
          <t>10:30</t>
        </is>
      </c>
      <c r="E6" s="12" t="inlineStr">
        <is>
          <t>12:00</t>
        </is>
      </c>
      <c r="F6" s="12" t="inlineStr">
        <is>
          <t>若菜先生</t>
        </is>
      </c>
      <c r="G6" s="12">
        <f>G6-3</f>
        <v/>
      </c>
      <c r="H6" s="12" t="inlineStr">
        <is>
          <t>-</t>
        </is>
      </c>
      <c r="I6" s="12">
        <f>B6-1</f>
        <v/>
      </c>
      <c r="J6" s="12" t="inlineStr">
        <is>
          <t>-</t>
        </is>
      </c>
      <c r="K6" s="12">
        <f>B6</f>
        <v/>
      </c>
      <c r="L6" s="12">
        <f>IF(IFERROR(TIMEVALUE(D6),D6)&gt;TIME(13,0,0),B6+1,B6)</f>
        <v/>
      </c>
      <c r="M6" s="15" t="inlineStr">
        <is>
          <t>E005</t>
        </is>
      </c>
      <c r="N6" s="10" t="inlineStr">
        <is>
          <t>若菜マンデー共通</t>
        </is>
      </c>
      <c r="O6" s="12" t="n"/>
      <c r="P6" s="12" t="n"/>
      <c r="Q6" s="12" t="inlineStr">
        <is>
          <t>未実施</t>
        </is>
      </c>
    </row>
    <row r="7">
      <c r="A7" s="12" t="inlineStr">
        <is>
          <t>グルコン</t>
        </is>
      </c>
      <c r="B7" s="14" t="n">
        <v>46198</v>
      </c>
      <c r="C7" s="15">
        <f>IF(B7="","",TEXT(B7,"M/d（aaa）"))</f>
        <v/>
      </c>
      <c r="D7" s="12" t="inlineStr">
        <is>
          <t>10:00</t>
        </is>
      </c>
      <c r="E7" s="12" t="inlineStr">
        <is>
          <t>11:00</t>
        </is>
      </c>
      <c r="F7" s="12" t="inlineStr">
        <is>
          <t>若菜先生</t>
        </is>
      </c>
      <c r="G7" s="12">
        <f>F7-3</f>
        <v/>
      </c>
      <c r="H7" s="12">
        <f>B7-3</f>
        <v/>
      </c>
      <c r="I7" s="12">
        <f>B7-1</f>
        <v/>
      </c>
      <c r="J7" s="12">
        <f>G7</f>
        <v/>
      </c>
      <c r="K7" s="12">
        <f>B7</f>
        <v/>
      </c>
      <c r="L7" s="12">
        <f>IF(IFERROR(TIMEVALUE(D7),D7)&gt;TIME(13,0,0),B7+1,B7)</f>
        <v/>
      </c>
      <c r="M7" s="15" t="inlineStr">
        <is>
          <t>E006</t>
        </is>
      </c>
      <c r="N7" s="10" t="inlineStr">
        <is>
          <t>若菜グルコン共通</t>
        </is>
      </c>
      <c r="O7" s="12" t="n"/>
      <c r="P7" s="12" t="n"/>
      <c r="Q7" s="12" t="inlineStr">
        <is>
          <t>未実施</t>
        </is>
      </c>
    </row>
    <row r="8">
      <c r="A8" s="12" t="inlineStr">
        <is>
          <t>第2回 動画配信</t>
        </is>
      </c>
      <c r="B8" s="14" t="n">
        <v>46202</v>
      </c>
      <c r="C8" s="15">
        <f>IF(B8="","",TEXT(B8,"M/d（aaa）"))</f>
        <v/>
      </c>
      <c r="D8" s="12" t="inlineStr">
        <is>
          <t>07:00</t>
        </is>
      </c>
      <c r="E8" s="12" t="inlineStr"/>
      <c r="F8" s="12" t="inlineStr">
        <is>
          <t>メールのみ</t>
        </is>
      </c>
      <c r="G8" s="12">
        <f>I8-3</f>
        <v/>
      </c>
      <c r="H8" s="12" t="inlineStr">
        <is>
          <t>-</t>
        </is>
      </c>
      <c r="I8" s="12" t="inlineStr">
        <is>
          <t>-</t>
        </is>
      </c>
      <c r="J8" s="12" t="inlineStr">
        <is>
          <t>-</t>
        </is>
      </c>
      <c r="K8" s="12">
        <f>B8</f>
        <v/>
      </c>
      <c r="L8" s="12" t="inlineStr">
        <is>
          <t>-</t>
        </is>
      </c>
      <c r="M8" s="15" t="inlineStr">
        <is>
          <t>E007</t>
        </is>
      </c>
      <c r="N8" s="10" t="inlineStr">
        <is>
          <t>Zoomなし</t>
        </is>
      </c>
      <c r="O8" s="12" t="n"/>
      <c r="P8" s="12" t="n"/>
      <c r="Q8" s="12" t="inlineStr">
        <is>
          <t>未実施</t>
        </is>
      </c>
    </row>
    <row r="9">
      <c r="A9" s="12" t="inlineStr">
        <is>
          <t>キャッチアップウェンズデー</t>
        </is>
      </c>
      <c r="B9" s="14" t="n">
        <v>46204</v>
      </c>
      <c r="C9" s="15">
        <f>IF(B9="","",TEXT(B9,"M/d（aaa）"))</f>
        <v/>
      </c>
      <c r="D9" s="12" t="inlineStr">
        <is>
          <t>20:30</t>
        </is>
      </c>
      <c r="E9" s="12" t="inlineStr">
        <is>
          <t>22:00</t>
        </is>
      </c>
      <c r="F9" s="12" t="inlineStr">
        <is>
          <t>山知雅代先生</t>
        </is>
      </c>
      <c r="G9" s="12">
        <f>G9-2</f>
        <v/>
      </c>
      <c r="H9" s="12" t="inlineStr">
        <is>
          <t>-</t>
        </is>
      </c>
      <c r="I9" s="12">
        <f>B9-1</f>
        <v/>
      </c>
      <c r="J9" s="12" t="inlineStr">
        <is>
          <t>-</t>
        </is>
      </c>
      <c r="K9" s="12">
        <f>B9</f>
        <v/>
      </c>
      <c r="L9" s="12">
        <f>IF(IFERROR(TIMEVALUE(D9),D9)&gt;TIME(13,0,0),B9+1,B9)</f>
        <v/>
      </c>
      <c r="M9" s="15" t="inlineStr">
        <is>
          <t>E008</t>
        </is>
      </c>
      <c r="N9" s="10" t="inlineStr">
        <is>
          <t>未定(サポート講師待ち)</t>
        </is>
      </c>
      <c r="O9" s="12" t="n"/>
      <c r="P9" s="12" t="n"/>
      <c r="Q9" s="12" t="inlineStr">
        <is>
          <t>未実施</t>
        </is>
      </c>
    </row>
    <row r="10">
      <c r="A10" s="12" t="inlineStr">
        <is>
          <t>キャッチアップマンデー</t>
        </is>
      </c>
      <c r="B10" s="14" t="n">
        <v>46209</v>
      </c>
      <c r="C10" s="15">
        <f>IF(B10="","",TEXT(B10,"M/d（aaa）"))</f>
        <v/>
      </c>
      <c r="D10" s="12" t="inlineStr">
        <is>
          <t>10:30</t>
        </is>
      </c>
      <c r="E10" s="12" t="inlineStr">
        <is>
          <t>12:00</t>
        </is>
      </c>
      <c r="F10" s="12" t="inlineStr">
        <is>
          <t>若菜先生</t>
        </is>
      </c>
      <c r="G10" s="12">
        <f>G10-3</f>
        <v/>
      </c>
      <c r="H10" s="12" t="inlineStr">
        <is>
          <t>-</t>
        </is>
      </c>
      <c r="I10" s="12">
        <f>B10-1</f>
        <v/>
      </c>
      <c r="J10" s="12" t="inlineStr">
        <is>
          <t>-</t>
        </is>
      </c>
      <c r="K10" s="12">
        <f>B10</f>
        <v/>
      </c>
      <c r="L10" s="12">
        <f>IF(IFERROR(TIMEVALUE(D10),D10)&gt;TIME(13,0,0),B10+1,B10)</f>
        <v/>
      </c>
      <c r="M10" s="15" t="inlineStr">
        <is>
          <t>E009</t>
        </is>
      </c>
      <c r="N10" s="10" t="inlineStr">
        <is>
          <t>若菜マンデー共通</t>
        </is>
      </c>
      <c r="O10" s="12" t="n"/>
      <c r="P10" s="12" t="n"/>
      <c r="Q10" s="12" t="inlineStr">
        <is>
          <t>未実施</t>
        </is>
      </c>
    </row>
    <row r="11">
      <c r="A11" s="12" t="inlineStr">
        <is>
          <t>グルコン</t>
        </is>
      </c>
      <c r="B11" s="14" t="n">
        <v>46212</v>
      </c>
      <c r="C11" s="15">
        <f>IF(B11="","",TEXT(B11,"M/d（aaa）"))</f>
        <v/>
      </c>
      <c r="D11" s="12" t="inlineStr">
        <is>
          <t>10:00</t>
        </is>
      </c>
      <c r="E11" s="12" t="inlineStr">
        <is>
          <t>11:00</t>
        </is>
      </c>
      <c r="F11" s="12" t="inlineStr">
        <is>
          <t>若菜先生</t>
        </is>
      </c>
      <c r="G11" s="12">
        <f>F11-3</f>
        <v/>
      </c>
      <c r="H11" s="12">
        <f>B11-3</f>
        <v/>
      </c>
      <c r="I11" s="12">
        <f>B11-1</f>
        <v/>
      </c>
      <c r="J11" s="12">
        <f>G11</f>
        <v/>
      </c>
      <c r="K11" s="12">
        <f>B11</f>
        <v/>
      </c>
      <c r="L11" s="12">
        <f>IF(IFERROR(TIMEVALUE(D11),D11)&gt;TIME(13,0,0),B11+1,B11)</f>
        <v/>
      </c>
      <c r="M11" s="15" t="inlineStr">
        <is>
          <t>E010</t>
        </is>
      </c>
      <c r="N11" s="10" t="inlineStr">
        <is>
          <t>若菜グルコン共通</t>
        </is>
      </c>
      <c r="O11" s="12" t="n"/>
      <c r="P11" s="12" t="n"/>
      <c r="Q11" s="12" t="inlineStr">
        <is>
          <t>未実施</t>
        </is>
      </c>
    </row>
    <row r="12">
      <c r="A12" s="12" t="inlineStr">
        <is>
          <t>第3回 動画配信</t>
        </is>
      </c>
      <c r="B12" s="14" t="n">
        <v>46216</v>
      </c>
      <c r="C12" s="15">
        <f>IF(B12="","",TEXT(B12,"M/d（aaa）"))</f>
        <v/>
      </c>
      <c r="D12" s="12" t="inlineStr">
        <is>
          <t>07:00</t>
        </is>
      </c>
      <c r="E12" s="12" t="inlineStr"/>
      <c r="F12" s="12" t="inlineStr">
        <is>
          <t>メールのみ</t>
        </is>
      </c>
      <c r="G12" s="12">
        <f>I12-3</f>
        <v/>
      </c>
      <c r="H12" s="12" t="inlineStr">
        <is>
          <t>-</t>
        </is>
      </c>
      <c r="I12" s="12" t="inlineStr">
        <is>
          <t>-</t>
        </is>
      </c>
      <c r="J12" s="12" t="inlineStr">
        <is>
          <t>-</t>
        </is>
      </c>
      <c r="K12" s="12">
        <f>B12</f>
        <v/>
      </c>
      <c r="L12" s="12" t="inlineStr">
        <is>
          <t>-</t>
        </is>
      </c>
      <c r="M12" s="15" t="inlineStr">
        <is>
          <t>E011</t>
        </is>
      </c>
      <c r="N12" s="10" t="inlineStr">
        <is>
          <t>Zoomなし</t>
        </is>
      </c>
      <c r="O12" s="12" t="n"/>
      <c r="P12" s="12" t="n"/>
      <c r="Q12" s="12" t="inlineStr">
        <is>
          <t>未実施</t>
        </is>
      </c>
    </row>
    <row r="13">
      <c r="A13" s="12" t="inlineStr">
        <is>
          <t>キャッチアップウェンズデー</t>
        </is>
      </c>
      <c r="B13" s="14" t="n">
        <v>46218</v>
      </c>
      <c r="C13" s="15">
        <f>IF(B13="","",TEXT(B13,"M/d（aaa）"))</f>
        <v/>
      </c>
      <c r="D13" s="12" t="inlineStr">
        <is>
          <t>9:30</t>
        </is>
      </c>
      <c r="E13" s="12" t="inlineStr">
        <is>
          <t>11:00</t>
        </is>
      </c>
      <c r="F13" s="12" t="inlineStr">
        <is>
          <t>北島理恵先生</t>
        </is>
      </c>
      <c r="G13" s="12">
        <f>G13-2</f>
        <v/>
      </c>
      <c r="H13" s="12" t="inlineStr">
        <is>
          <t>-</t>
        </is>
      </c>
      <c r="I13" s="12">
        <f>B13-1</f>
        <v/>
      </c>
      <c r="J13" s="12" t="inlineStr">
        <is>
          <t>-</t>
        </is>
      </c>
      <c r="K13" s="12">
        <f>B13</f>
        <v/>
      </c>
      <c r="L13" s="12">
        <f>IF(IFERROR(TIMEVALUE(D13),D13)&gt;TIME(13,0,0),B13+1,B13)</f>
        <v/>
      </c>
      <c r="M13" s="15" t="inlineStr">
        <is>
          <t>E012</t>
        </is>
      </c>
      <c r="N13" s="10" t="inlineStr">
        <is>
          <t>未定(サポート講師待ち)</t>
        </is>
      </c>
      <c r="O13" s="12" t="n"/>
      <c r="P13" s="12" t="n"/>
      <c r="Q13" s="12" t="inlineStr">
        <is>
          <t>未実施</t>
        </is>
      </c>
    </row>
    <row r="14">
      <c r="A14" s="12" t="inlineStr">
        <is>
          <t>サポート講師ビギナーグルコン</t>
        </is>
      </c>
      <c r="B14" s="14" t="n">
        <v>46220</v>
      </c>
      <c r="C14" s="15">
        <f>IF(B14="","",TEXT(B14,"M/d（aaa）"))</f>
        <v/>
      </c>
      <c r="D14" s="12" t="inlineStr">
        <is>
          <t>21:00</t>
        </is>
      </c>
      <c r="E14" s="12" t="inlineStr">
        <is>
          <t>22:00</t>
        </is>
      </c>
      <c r="F14" s="12" t="inlineStr">
        <is>
          <t>富田紫先生</t>
        </is>
      </c>
      <c r="G14" s="12">
        <f>F14-2</f>
        <v/>
      </c>
      <c r="H14" s="12">
        <f>B14-3</f>
        <v/>
      </c>
      <c r="I14" s="12">
        <f>B14-1</f>
        <v/>
      </c>
      <c r="J14" s="12">
        <f>G14</f>
        <v/>
      </c>
      <c r="K14" s="12">
        <f>B14</f>
        <v/>
      </c>
      <c r="L14" s="12">
        <f>IF(IFERROR(TIMEVALUE(D14),D14)&gt;TIME(13,0,0),B14+1,B14)</f>
        <v/>
      </c>
      <c r="M14" s="15" t="inlineStr">
        <is>
          <t>E013</t>
        </is>
      </c>
      <c r="N14" s="10" t="inlineStr">
        <is>
          <t>未定(サポート講師待ち)</t>
        </is>
      </c>
      <c r="O14" s="12" t="n"/>
      <c r="P14" s="12" t="n"/>
      <c r="Q14" s="12" t="inlineStr">
        <is>
          <t>未実施</t>
        </is>
      </c>
    </row>
    <row r="15">
      <c r="A15" s="12" t="inlineStr">
        <is>
          <t>キャッチアップマンデー</t>
        </is>
      </c>
      <c r="B15" s="14" t="n">
        <v>46224</v>
      </c>
      <c r="C15" s="15">
        <f>IF(B15="","",TEXT(B15,"M/d（aaa）"))</f>
        <v/>
      </c>
      <c r="D15" s="12" t="inlineStr">
        <is>
          <t>20:30</t>
        </is>
      </c>
      <c r="E15" s="12" t="inlineStr">
        <is>
          <t>22:00</t>
        </is>
      </c>
      <c r="F15" s="12" t="inlineStr">
        <is>
          <t>若菜先生</t>
        </is>
      </c>
      <c r="G15" s="12">
        <f>G15-3</f>
        <v/>
      </c>
      <c r="H15" s="12" t="inlineStr">
        <is>
          <t>-</t>
        </is>
      </c>
      <c r="I15" s="12">
        <f>B15-1</f>
        <v/>
      </c>
      <c r="J15" s="12" t="inlineStr">
        <is>
          <t>-</t>
        </is>
      </c>
      <c r="K15" s="12">
        <f>B15</f>
        <v/>
      </c>
      <c r="L15" s="12">
        <f>IF(IFERROR(TIMEVALUE(D15),D15)&gt;TIME(13,0,0),B15+1,B15)</f>
        <v/>
      </c>
      <c r="M15" s="15" t="inlineStr">
        <is>
          <t>E014</t>
        </is>
      </c>
      <c r="N15" s="10" t="inlineStr">
        <is>
          <t>若菜マンデー共通</t>
        </is>
      </c>
      <c r="O15" s="12" t="n"/>
      <c r="P15" s="12" t="n"/>
      <c r="Q15" s="12" t="inlineStr">
        <is>
          <t>未実施</t>
        </is>
      </c>
    </row>
    <row r="16">
      <c r="A16" s="12" t="inlineStr">
        <is>
          <t>グルコン</t>
        </is>
      </c>
      <c r="B16" s="14" t="n">
        <v>46227</v>
      </c>
      <c r="C16" s="15">
        <f>IF(B16="","",TEXT(B16,"M/d（aaa）"))</f>
        <v/>
      </c>
      <c r="D16" s="12" t="inlineStr">
        <is>
          <t>21:00</t>
        </is>
      </c>
      <c r="E16" s="12" t="inlineStr">
        <is>
          <t>22:00</t>
        </is>
      </c>
      <c r="F16" s="12" t="inlineStr">
        <is>
          <t>若菜先生</t>
        </is>
      </c>
      <c r="G16" s="12">
        <f>F16-3</f>
        <v/>
      </c>
      <c r="H16" s="12">
        <f>B16-3</f>
        <v/>
      </c>
      <c r="I16" s="12">
        <f>B16-1</f>
        <v/>
      </c>
      <c r="J16" s="12">
        <f>G16</f>
        <v/>
      </c>
      <c r="K16" s="12">
        <f>B16</f>
        <v/>
      </c>
      <c r="L16" s="12">
        <f>IF(IFERROR(TIMEVALUE(D16),D16)&gt;TIME(13,0,0),B16+1,B16)</f>
        <v/>
      </c>
      <c r="M16" s="15" t="inlineStr">
        <is>
          <t>E015</t>
        </is>
      </c>
      <c r="N16" s="10" t="inlineStr">
        <is>
          <t>若菜グルコン共通</t>
        </is>
      </c>
      <c r="O16" s="12" t="n"/>
      <c r="P16" s="12" t="n"/>
      <c r="Q16" s="12" t="inlineStr">
        <is>
          <t>未実施</t>
        </is>
      </c>
    </row>
    <row r="17">
      <c r="A17" s="12" t="inlineStr">
        <is>
          <t>第4回 動画配信</t>
        </is>
      </c>
      <c r="B17" s="14" t="n">
        <v>46230</v>
      </c>
      <c r="C17" s="15">
        <f>IF(B17="","",TEXT(B17,"M/d（aaa）"))</f>
        <v/>
      </c>
      <c r="D17" s="12" t="inlineStr">
        <is>
          <t>07:00</t>
        </is>
      </c>
      <c r="E17" s="12" t="inlineStr"/>
      <c r="F17" s="12" t="inlineStr">
        <is>
          <t>メールのみ</t>
        </is>
      </c>
      <c r="G17" s="12">
        <f>I17-3</f>
        <v/>
      </c>
      <c r="H17" s="12" t="inlineStr">
        <is>
          <t>-</t>
        </is>
      </c>
      <c r="I17" s="12" t="inlineStr">
        <is>
          <t>-</t>
        </is>
      </c>
      <c r="J17" s="12" t="inlineStr">
        <is>
          <t>-</t>
        </is>
      </c>
      <c r="K17" s="12">
        <f>B17</f>
        <v/>
      </c>
      <c r="L17" s="12" t="inlineStr">
        <is>
          <t>-</t>
        </is>
      </c>
      <c r="M17" s="15" t="inlineStr">
        <is>
          <t>E016</t>
        </is>
      </c>
      <c r="N17" s="10" t="inlineStr">
        <is>
          <t>Zoomなし</t>
        </is>
      </c>
      <c r="O17" s="12" t="n"/>
      <c r="P17" s="12" t="n"/>
      <c r="Q17" s="12" t="inlineStr">
        <is>
          <t>未実施</t>
        </is>
      </c>
    </row>
    <row r="18">
      <c r="A18" s="12" t="inlineStr">
        <is>
          <t>課題作業会</t>
        </is>
      </c>
      <c r="B18" s="14" t="n">
        <v>46231</v>
      </c>
      <c r="C18" s="15">
        <f>IF(B18="","",TEXT(B18,"M/d（aaa）"))</f>
        <v/>
      </c>
      <c r="D18" s="12" t="inlineStr">
        <is>
          <t>10:00</t>
        </is>
      </c>
      <c r="E18" s="12" t="inlineStr">
        <is>
          <t>11:00</t>
        </is>
      </c>
      <c r="F18" s="12" t="inlineStr">
        <is>
          <t>山下直子先生</t>
        </is>
      </c>
      <c r="G18" s="12">
        <f>F18-3</f>
        <v/>
      </c>
      <c r="H18" s="12">
        <f>B18-3</f>
        <v/>
      </c>
      <c r="I18" s="12">
        <f>B18-1</f>
        <v/>
      </c>
      <c r="J18" s="12">
        <f>G18</f>
        <v/>
      </c>
      <c r="K18" s="12">
        <f>B18</f>
        <v/>
      </c>
      <c r="L18" s="12">
        <f>IF(IFERROR(TIMEVALUE(D18),D18)&gt;TIME(13,0,0),B18+1,B18)</f>
        <v/>
      </c>
      <c r="M18" s="15" t="inlineStr">
        <is>
          <t>E017</t>
        </is>
      </c>
      <c r="N18" s="10" t="inlineStr">
        <is>
          <t>個別</t>
        </is>
      </c>
      <c r="O18" s="12" t="n"/>
      <c r="P18" s="12" t="n"/>
      <c r="Q18" s="12" t="inlineStr">
        <is>
          <t>未実施</t>
        </is>
      </c>
    </row>
    <row r="19">
      <c r="A19" s="12" t="inlineStr">
        <is>
          <t>キャッチアップウェンズデー</t>
        </is>
      </c>
      <c r="B19" s="14" t="n">
        <v>46232</v>
      </c>
      <c r="C19" s="15">
        <f>IF(B19="","",TEXT(B19,"M/d（aaa）"))</f>
        <v/>
      </c>
      <c r="D19" s="12" t="inlineStr">
        <is>
          <t>20:30</t>
        </is>
      </c>
      <c r="E19" s="12" t="inlineStr">
        <is>
          <t>22:00</t>
        </is>
      </c>
      <c r="F19" s="12" t="inlineStr">
        <is>
          <t>富田紫先生</t>
        </is>
      </c>
      <c r="G19" s="12">
        <f>G19-2</f>
        <v/>
      </c>
      <c r="H19" s="12" t="inlineStr">
        <is>
          <t>-</t>
        </is>
      </c>
      <c r="I19" s="12">
        <f>B19-1</f>
        <v/>
      </c>
      <c r="J19" s="12" t="inlineStr">
        <is>
          <t>-</t>
        </is>
      </c>
      <c r="K19" s="12">
        <f>B19</f>
        <v/>
      </c>
      <c r="L19" s="12">
        <f>IF(IFERROR(TIMEVALUE(D19),D19)&gt;TIME(13,0,0),B19+1,B19)</f>
        <v/>
      </c>
      <c r="M19" s="15" t="inlineStr">
        <is>
          <t>E018</t>
        </is>
      </c>
      <c r="N19" s="10" t="inlineStr">
        <is>
          <t>未定(サポート講師待ち)</t>
        </is>
      </c>
      <c r="O19" s="12" t="n"/>
      <c r="P19" s="12" t="n"/>
      <c r="Q19" s="12" t="inlineStr">
        <is>
          <t>未実施</t>
        </is>
      </c>
    </row>
    <row r="20">
      <c r="A20" s="12" t="inlineStr">
        <is>
          <t>サポート講師ビギナーグルコン</t>
        </is>
      </c>
      <c r="B20" s="14" t="n">
        <v>46234</v>
      </c>
      <c r="C20" s="15">
        <f>IF(B20="","",TEXT(B20,"M/d（aaa）"))</f>
        <v/>
      </c>
      <c r="D20" s="12" t="inlineStr">
        <is>
          <t>10:00</t>
        </is>
      </c>
      <c r="E20" s="12" t="inlineStr">
        <is>
          <t>11:00</t>
        </is>
      </c>
      <c r="F20" s="12" t="inlineStr">
        <is>
          <t>神保麻紀先生</t>
        </is>
      </c>
      <c r="G20" s="12">
        <f>F20-2</f>
        <v/>
      </c>
      <c r="H20" s="12">
        <f>B20-3</f>
        <v/>
      </c>
      <c r="I20" s="12">
        <f>B20-1</f>
        <v/>
      </c>
      <c r="J20" s="12">
        <f>G20</f>
        <v/>
      </c>
      <c r="K20" s="12">
        <f>B20</f>
        <v/>
      </c>
      <c r="L20" s="12">
        <f>IF(IFERROR(TIMEVALUE(D20),D20)&gt;TIME(13,0,0),B20+1,B20)</f>
        <v/>
      </c>
      <c r="M20" s="15" t="inlineStr">
        <is>
          <t>E019</t>
        </is>
      </c>
      <c r="N20" s="10" t="inlineStr">
        <is>
          <t>未定(サポート講師待ち)</t>
        </is>
      </c>
      <c r="O20" s="12" t="n"/>
      <c r="P20" s="12" t="n"/>
      <c r="Q20" s="12" t="inlineStr">
        <is>
          <t>未実施</t>
        </is>
      </c>
    </row>
    <row r="21">
      <c r="A21" s="12" t="inlineStr">
        <is>
          <t>キャッチアップマンデー</t>
        </is>
      </c>
      <c r="B21" s="14" t="n">
        <v>46237</v>
      </c>
      <c r="C21" s="15">
        <f>IF(B21="","",TEXT(B21,"M/d（aaa）"))</f>
        <v/>
      </c>
      <c r="D21" s="12" t="inlineStr">
        <is>
          <t>10:30</t>
        </is>
      </c>
      <c r="E21" s="12" t="inlineStr">
        <is>
          <t>12:00</t>
        </is>
      </c>
      <c r="F21" s="12" t="inlineStr">
        <is>
          <t>若菜先生</t>
        </is>
      </c>
      <c r="G21" s="12">
        <f>G21-3</f>
        <v/>
      </c>
      <c r="H21" s="12" t="inlineStr">
        <is>
          <t>-</t>
        </is>
      </c>
      <c r="I21" s="12">
        <f>B21-1</f>
        <v/>
      </c>
      <c r="J21" s="12" t="inlineStr">
        <is>
          <t>-</t>
        </is>
      </c>
      <c r="K21" s="12">
        <f>B21</f>
        <v/>
      </c>
      <c r="L21" s="12">
        <f>IF(IFERROR(TIMEVALUE(D21),D21)&gt;TIME(13,0,0),B21+1,B21)</f>
        <v/>
      </c>
      <c r="M21" s="15" t="inlineStr">
        <is>
          <t>E020</t>
        </is>
      </c>
      <c r="N21" s="10" t="inlineStr">
        <is>
          <t>若菜マンデー共通</t>
        </is>
      </c>
      <c r="O21" s="12" t="n"/>
      <c r="P21" s="12" t="n"/>
      <c r="Q21" s="12" t="inlineStr">
        <is>
          <t>未実施</t>
        </is>
      </c>
    </row>
    <row r="22">
      <c r="A22" s="12" t="inlineStr">
        <is>
          <t>グルコン</t>
        </is>
      </c>
      <c r="B22" s="14" t="n">
        <v>46240</v>
      </c>
      <c r="C22" s="15">
        <f>IF(B22="","",TEXT(B22,"M/d（aaa）"))</f>
        <v/>
      </c>
      <c r="D22" s="12" t="inlineStr">
        <is>
          <t>21:00</t>
        </is>
      </c>
      <c r="E22" s="12" t="inlineStr">
        <is>
          <t>22:00</t>
        </is>
      </c>
      <c r="F22" s="12" t="inlineStr">
        <is>
          <t>若菜先生</t>
        </is>
      </c>
      <c r="G22" s="12">
        <f>F22-3</f>
        <v/>
      </c>
      <c r="H22" s="12">
        <f>B22-3</f>
        <v/>
      </c>
      <c r="I22" s="12">
        <f>B22-1</f>
        <v/>
      </c>
      <c r="J22" s="12">
        <f>G22</f>
        <v/>
      </c>
      <c r="K22" s="12">
        <f>B22</f>
        <v/>
      </c>
      <c r="L22" s="12">
        <f>IF(IFERROR(TIMEVALUE(D22),D22)&gt;TIME(13,0,0),B22+1,B22)</f>
        <v/>
      </c>
      <c r="M22" s="15" t="inlineStr">
        <is>
          <t>E021</t>
        </is>
      </c>
      <c r="N22" s="10" t="inlineStr">
        <is>
          <t>若菜グルコン共通</t>
        </is>
      </c>
      <c r="O22" s="12" t="n"/>
      <c r="P22" s="12" t="n"/>
      <c r="Q22" s="12" t="inlineStr">
        <is>
          <t>未実施</t>
        </is>
      </c>
    </row>
    <row r="23">
      <c r="A23" s="12" t="inlineStr">
        <is>
          <t>第5回 動画配信</t>
        </is>
      </c>
      <c r="B23" s="14" t="n">
        <v>46244</v>
      </c>
      <c r="C23" s="15">
        <f>IF(B23="","",TEXT(B23,"M/d（aaa）"))</f>
        <v/>
      </c>
      <c r="D23" s="12" t="inlineStr">
        <is>
          <t>07:00</t>
        </is>
      </c>
      <c r="E23" s="12" t="inlineStr"/>
      <c r="F23" s="12" t="inlineStr">
        <is>
          <t>メールのみ</t>
        </is>
      </c>
      <c r="G23" s="12">
        <f>I23-3</f>
        <v/>
      </c>
      <c r="H23" s="12" t="inlineStr">
        <is>
          <t>-</t>
        </is>
      </c>
      <c r="I23" s="12" t="inlineStr">
        <is>
          <t>-</t>
        </is>
      </c>
      <c r="J23" s="12" t="inlineStr">
        <is>
          <t>-</t>
        </is>
      </c>
      <c r="K23" s="12">
        <f>B23</f>
        <v/>
      </c>
      <c r="L23" s="12" t="inlineStr">
        <is>
          <t>-</t>
        </is>
      </c>
      <c r="M23" s="15" t="inlineStr">
        <is>
          <t>E022</t>
        </is>
      </c>
      <c r="N23" s="10" t="inlineStr">
        <is>
          <t>Zoomなし</t>
        </is>
      </c>
      <c r="O23" s="12" t="n"/>
      <c r="P23" s="12" t="n"/>
      <c r="Q23" s="12" t="inlineStr">
        <is>
          <t>未実施</t>
        </is>
      </c>
    </row>
    <row r="24">
      <c r="A24" s="12" t="inlineStr">
        <is>
          <t>キャッチアップウェンズデー</t>
        </is>
      </c>
      <c r="B24" s="14" t="n">
        <v>46246</v>
      </c>
      <c r="C24" s="15">
        <f>IF(B24="","",TEXT(B24,"M/d（aaa）"))</f>
        <v/>
      </c>
      <c r="D24" s="12" t="inlineStr">
        <is>
          <t>9:30</t>
        </is>
      </c>
      <c r="E24" s="12" t="inlineStr">
        <is>
          <t>11:00</t>
        </is>
      </c>
      <c r="F24" s="12" t="inlineStr">
        <is>
          <t>山下直子先生</t>
        </is>
      </c>
      <c r="G24" s="12">
        <f>G24-2</f>
        <v/>
      </c>
      <c r="H24" s="12" t="inlineStr">
        <is>
          <t>-</t>
        </is>
      </c>
      <c r="I24" s="12">
        <f>B24-1</f>
        <v/>
      </c>
      <c r="J24" s="12" t="inlineStr">
        <is>
          <t>-</t>
        </is>
      </c>
      <c r="K24" s="12">
        <f>B24</f>
        <v/>
      </c>
      <c r="L24" s="12">
        <f>IF(IFERROR(TIMEVALUE(D24),D24)&gt;TIME(13,0,0),B24+1,B24)</f>
        <v/>
      </c>
      <c r="M24" s="15" t="inlineStr">
        <is>
          <t>E023</t>
        </is>
      </c>
      <c r="N24" s="10" t="inlineStr">
        <is>
          <t>未定(サポート講師待ち)</t>
        </is>
      </c>
      <c r="O24" s="12" t="n"/>
      <c r="P24" s="12" t="n"/>
      <c r="Q24" s="12" t="inlineStr">
        <is>
          <t>未実施</t>
        </is>
      </c>
    </row>
    <row r="25">
      <c r="A25" s="12" t="inlineStr">
        <is>
          <t>キャッチアップマンデー</t>
        </is>
      </c>
      <c r="B25" s="14" t="n">
        <v>46251</v>
      </c>
      <c r="C25" s="15">
        <f>IF(B25="","",TEXT(B25,"M/d（aaa）"))</f>
        <v/>
      </c>
      <c r="D25" s="12" t="inlineStr">
        <is>
          <t>10:30</t>
        </is>
      </c>
      <c r="E25" s="12" t="inlineStr">
        <is>
          <t>12:00</t>
        </is>
      </c>
      <c r="F25" s="12" t="inlineStr">
        <is>
          <t>若菜先生</t>
        </is>
      </c>
      <c r="G25" s="12">
        <f>G25-3</f>
        <v/>
      </c>
      <c r="H25" s="12" t="inlineStr">
        <is>
          <t>-</t>
        </is>
      </c>
      <c r="I25" s="12">
        <f>B25-1</f>
        <v/>
      </c>
      <c r="J25" s="12" t="inlineStr">
        <is>
          <t>-</t>
        </is>
      </c>
      <c r="K25" s="12">
        <f>B25</f>
        <v/>
      </c>
      <c r="L25" s="12">
        <f>IF(IFERROR(TIMEVALUE(D25),D25)&gt;TIME(13,0,0),B25+1,B25)</f>
        <v/>
      </c>
      <c r="M25" s="15" t="inlineStr">
        <is>
          <t>E024</t>
        </is>
      </c>
      <c r="N25" s="10" t="inlineStr">
        <is>
          <t>若菜マンデー共通</t>
        </is>
      </c>
      <c r="O25" s="12" t="n"/>
      <c r="P25" s="12" t="n"/>
      <c r="Q25" s="12" t="inlineStr">
        <is>
          <t>未実施</t>
        </is>
      </c>
    </row>
    <row r="26">
      <c r="A26" s="12" t="inlineStr">
        <is>
          <t>グルコン</t>
        </is>
      </c>
      <c r="B26" s="14" t="n">
        <v>46254</v>
      </c>
      <c r="C26" s="15">
        <f>IF(B26="","",TEXT(B26,"M/d（aaa）"))</f>
        <v/>
      </c>
      <c r="D26" s="12" t="inlineStr">
        <is>
          <t>10:00</t>
        </is>
      </c>
      <c r="E26" s="12" t="inlineStr">
        <is>
          <t>11:00</t>
        </is>
      </c>
      <c r="F26" s="12" t="inlineStr">
        <is>
          <t>若菜先生</t>
        </is>
      </c>
      <c r="G26" s="12">
        <f>F26-3</f>
        <v/>
      </c>
      <c r="H26" s="12">
        <f>B26-3</f>
        <v/>
      </c>
      <c r="I26" s="12">
        <f>B26-1</f>
        <v/>
      </c>
      <c r="J26" s="12">
        <f>G26</f>
        <v/>
      </c>
      <c r="K26" s="12">
        <f>B26</f>
        <v/>
      </c>
      <c r="L26" s="12">
        <f>IF(IFERROR(TIMEVALUE(D26),D26)&gt;TIME(13,0,0),B26+1,B26)</f>
        <v/>
      </c>
      <c r="M26" s="15" t="inlineStr">
        <is>
          <t>E025</t>
        </is>
      </c>
      <c r="N26" s="10" t="inlineStr">
        <is>
          <t>若菜グルコン共通</t>
        </is>
      </c>
      <c r="O26" s="12" t="n"/>
      <c r="P26" s="12" t="n"/>
      <c r="Q26" s="12" t="inlineStr">
        <is>
          <t>未実施</t>
        </is>
      </c>
    </row>
    <row r="27">
      <c r="A27" s="12" t="inlineStr">
        <is>
          <t>サポート講師ビギナーグルコン</t>
        </is>
      </c>
      <c r="B27" s="14" t="n">
        <v>46255</v>
      </c>
      <c r="C27" s="15">
        <f>IF(B27="","",TEXT(B27,"M/d（aaa）"))</f>
        <v/>
      </c>
      <c r="D27" s="12" t="inlineStr">
        <is>
          <t>21:00</t>
        </is>
      </c>
      <c r="E27" s="12" t="inlineStr">
        <is>
          <t>22:00</t>
        </is>
      </c>
      <c r="F27" s="12" t="inlineStr">
        <is>
          <t>山知雅代先生</t>
        </is>
      </c>
      <c r="G27" s="12">
        <f>F27-2</f>
        <v/>
      </c>
      <c r="H27" s="12">
        <f>B27-3</f>
        <v/>
      </c>
      <c r="I27" s="12">
        <f>B27-1</f>
        <v/>
      </c>
      <c r="J27" s="12">
        <f>G27</f>
        <v/>
      </c>
      <c r="K27" s="12">
        <f>B27</f>
        <v/>
      </c>
      <c r="L27" s="12">
        <f>IF(IFERROR(TIMEVALUE(D27),D27)&gt;TIME(13,0,0),B27+1,B27)</f>
        <v/>
      </c>
      <c r="M27" s="15" t="inlineStr">
        <is>
          <t>E026</t>
        </is>
      </c>
      <c r="N27" s="10" t="inlineStr">
        <is>
          <t>未定(サポート講師待ち)</t>
        </is>
      </c>
      <c r="O27" s="12" t="n"/>
      <c r="P27" s="12" t="n"/>
      <c r="Q27" s="12" t="inlineStr">
        <is>
          <t>未実施</t>
        </is>
      </c>
    </row>
    <row r="28">
      <c r="A28" s="12" t="inlineStr">
        <is>
          <t>第6回 動画配信</t>
        </is>
      </c>
      <c r="B28" s="14" t="n">
        <v>46258</v>
      </c>
      <c r="C28" s="15">
        <f>IF(B28="","",TEXT(B28,"M/d（aaa）"))</f>
        <v/>
      </c>
      <c r="D28" s="12" t="inlineStr">
        <is>
          <t>07:00</t>
        </is>
      </c>
      <c r="E28" s="12" t="inlineStr"/>
      <c r="F28" s="12" t="inlineStr">
        <is>
          <t>メールのみ</t>
        </is>
      </c>
      <c r="G28" s="12">
        <f>I28-3</f>
        <v/>
      </c>
      <c r="H28" s="12" t="inlineStr">
        <is>
          <t>-</t>
        </is>
      </c>
      <c r="I28" s="12" t="inlineStr">
        <is>
          <t>-</t>
        </is>
      </c>
      <c r="J28" s="12" t="inlineStr">
        <is>
          <t>-</t>
        </is>
      </c>
      <c r="K28" s="12">
        <f>B28</f>
        <v/>
      </c>
      <c r="L28" s="12" t="inlineStr">
        <is>
          <t>-</t>
        </is>
      </c>
      <c r="M28" s="15" t="inlineStr">
        <is>
          <t>E027</t>
        </is>
      </c>
      <c r="N28" s="10" t="inlineStr">
        <is>
          <t>Zoomなし</t>
        </is>
      </c>
      <c r="O28" s="12" t="n"/>
      <c r="P28" s="12" t="n"/>
      <c r="Q28" s="12" t="inlineStr">
        <is>
          <t>未実施</t>
        </is>
      </c>
    </row>
    <row r="29">
      <c r="A29" s="12" t="inlineStr">
        <is>
          <t>グルコン</t>
        </is>
      </c>
      <c r="B29" s="14" t="n">
        <v>46261</v>
      </c>
      <c r="C29" s="15">
        <f>IF(B29="","",TEXT(B29,"M/d（aaa）"))</f>
        <v/>
      </c>
      <c r="D29" s="12" t="inlineStr">
        <is>
          <t>21:00</t>
        </is>
      </c>
      <c r="E29" s="12" t="inlineStr">
        <is>
          <t>22:00</t>
        </is>
      </c>
      <c r="F29" s="12" t="inlineStr">
        <is>
          <t>若菜先生</t>
        </is>
      </c>
      <c r="G29" s="12">
        <f>F29-3</f>
        <v/>
      </c>
      <c r="H29" s="12">
        <f>B29-3</f>
        <v/>
      </c>
      <c r="I29" s="12">
        <f>B29-1</f>
        <v/>
      </c>
      <c r="J29" s="12">
        <f>G29</f>
        <v/>
      </c>
      <c r="K29" s="12">
        <f>B29</f>
        <v/>
      </c>
      <c r="L29" s="12">
        <f>IF(IFERROR(TIMEVALUE(D29),D29)&gt;TIME(13,0,0),B29+1,B29)</f>
        <v/>
      </c>
      <c r="M29" s="15" t="inlineStr">
        <is>
          <t>E028</t>
        </is>
      </c>
      <c r="N29" s="10" t="inlineStr">
        <is>
          <t>若菜グルコン共通</t>
        </is>
      </c>
      <c r="O29" s="12" t="n"/>
      <c r="P29" s="12" t="n"/>
      <c r="Q29" s="12" t="inlineStr">
        <is>
          <t>未実施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55" customWidth="1" min="3" max="3"/>
    <col width="90" customWidth="1" min="4" max="4"/>
    <col width="20" customWidth="1" min="5" max="5"/>
  </cols>
  <sheetData>
    <row r="1">
      <c r="A1" s="13" t="inlineStr">
        <is>
          <t>講義内容</t>
        </is>
      </c>
      <c r="B1" s="13" t="inlineStr">
        <is>
          <t>タイミング</t>
        </is>
      </c>
      <c r="C1" s="13" t="inlineStr">
        <is>
          <t>件名</t>
        </is>
      </c>
      <c r="D1" s="13" t="inlineStr">
        <is>
          <t>本文</t>
        </is>
      </c>
      <c r="E1" s="13" t="inlineStr">
        <is>
          <t>zoomリンク</t>
        </is>
      </c>
    </row>
    <row r="2" ht="200" customHeight="1">
      <c r="A2" s="16" t="inlineStr">
        <is>
          <t>オリエンテーション</t>
        </is>
      </c>
      <c r="B2" s="16" t="inlineStr">
        <is>
          <t>前日</t>
        </is>
      </c>
      <c r="C2" s="16" t="inlineStr">
        <is>
          <t>【重要】明日開催！スタートアップオリエンテーション({{日程}}{{開始時}}〜)URL詳細</t>
        </is>
      </c>
      <c r="D2" s="16" t="inlineStr">
        <is>
          <t>※このメールは、『{{期}}期"Shine A Light"』の皆さまにお送りしております。
こんにちは。
Shine A Light 運営事務局です。
【明日開催のスタートアップオリエンテーションの詳細です】
＝＝＝＝＝
詳細
＝＝＝＝＝
【日時】
{{日程}}{{時間帯}}
【開催方法】
zoomで開催します。
【視聴URL】
{{zoomリンク}}
ご案内は以上です。
ご不明点のお問い合わせは
当メールの返信にてご連絡ください。
Shine A Light 運営事務局</t>
        </is>
      </c>
      <c r="E2" s="16" t="n"/>
    </row>
    <row r="3" ht="200" customHeight="1">
      <c r="A3" s="16" t="inlineStr">
        <is>
          <t>オリエンテーション</t>
        </is>
      </c>
      <c r="B3" s="16" t="inlineStr">
        <is>
          <t>当日</t>
        </is>
      </c>
      <c r="C3" s="16" t="inlineStr">
        <is>
          <t>【重要】本日開催!スタートアップオリエンテーション({{日程}}{{開始時}}〜)URL詳細</t>
        </is>
      </c>
      <c r="D3" s="16" t="inlineStr">
        <is>
          <t>※このメールは、『{{期}}期"Shine A Light"』の皆さまにお送りしております。
こんにちは。
Shine A Light 運営事務局です。
【本日開催のスタートアップオリエンテーションの詳細です】
＝＝＝＝＝
詳細
＝＝＝＝＝
【日時】
{{日程}}{{時間帯}}
【開催方法】
zoomで開催します。
【視聴URL】
{{zoomリンク}}
ご案内は以上です。
ご不明点のお問い合わせは
当メールの返信にてご連絡ください。
Shine A Light 運営事務局</t>
        </is>
      </c>
      <c r="E3" s="16" t="n"/>
    </row>
    <row r="4" ht="200" customHeight="1">
      <c r="A4" s="16" t="inlineStr">
        <is>
          <t>グルコン</t>
        </is>
      </c>
      <c r="B4" s="16" t="inlineStr">
        <is>
          <t>3日前</t>
        </is>
      </c>
      <c r="C4" s="16" t="inlineStr">
        <is>
          <t>{{日程短}}{{開始時}}~開催グルコンの質問をお送りください</t>
        </is>
      </c>
      <c r="D4" s="16" t="inlineStr">
        <is>
          <t>※このメールは、『{{期}}期"Shine A Light"』の皆様にお送りしております。
こんにちは。
"Shine A Light"運営事務局です。
{{日程}}{{開始時}}〜開催の
グルコンについてのご連絡です。
課題をこなすのに、
前へ進むのに、
止まってしまっていませんか？
グルコンへの質問を受け付けますので、
ぜひ困っていること、相談したいことがありましたら
何でも、小さなことでもいいのでお送りください。
まずは、どんな小さなことでもいいので
できることを見つけて
取り組んでいきましょう＾＾
【グルコン開催前の事前アンケートのお願い】
グルコン当日に{{担当者}}に
相談したいこと&amp;質問したいことを入力して
以下のアンケートフォームから送信してください。
いただいた質問に
グルコンでお答えいたします。
【回答期限:{{フォーム締切表記}}】まで
グルコンへの質問&amp;相談をお受けしております。
※グルコンの欠席連絡は不要です。
質問をされる場合のみ、フォームに一言欠席の旨お書きください。
＝＝＝＝＝＝
▼グルコンの事前アンケート▼
{{事前フォームURL}}
＝＝＝＝＝＝
【グルコンで添削をご希望の場合の注意点】
グルコンで「添削」を希望される方は、下記の要領でご提出ください。
円滑かつ公平な進行のため、ご協力をお願いいたします。
■ 対象物
・スライド
・SNS(プロフィール含む)
・LP
・ホームページ
・Googleドキュメント
など
■ 提出方法
1. 事前質問フォームに、対象物のURLリンクを必ず貼り付けてください。
2. リンクの閲覧権限を「リンクを知っている全員が閲覧可」に設定してください。(Canva、Googleドキュメント)
※グルコン直前の個別メッセージでのリンク送付は受け付けておりません。
■ 質問の書き方
「見てほしいです/添削してください」の一言ではなく、以下を具体的にお書きください。
・特に見てほしい箇所(例:◯ページのヘッドコピー、文言 など)
・現状と目的
・相談内容・質問(例:A/Bどちらの表現が適切か、第一印象を強める改善案が欲しい など)
■ 受付できないケース
・リンク未記載のご提出
・個別メッセージでの直前送付
・閲覧権限が付与されていないリンク
ご案内は以上です。
ご不明点のお問い合わせは
当メールの返信にてご連絡ください。
Shine A Light 運営事務局</t>
        </is>
      </c>
      <c r="E4" s="16" t="n"/>
    </row>
    <row r="5" ht="200" customHeight="1">
      <c r="A5" s="16" t="inlineStr">
        <is>
          <t>グルコン</t>
        </is>
      </c>
      <c r="B5" s="16" t="inlineStr">
        <is>
          <t>前日</t>
        </is>
      </c>
      <c r="C5" s="16" t="inlineStr">
        <is>
          <t>【重要】明日{{開始時}}〜グルコン詳細・事前質問受付は本日12時まで!</t>
        </is>
      </c>
      <c r="D5" s="16" t="inlineStr">
        <is>
          <t>※このメールは、『{{期}}期"Shine A Light"』の皆様にお送りしております。
こんにちは。
"Shine A Light"運営事務局です。
明日のグルコンの詳細のお知らせと
事前質問アンケート送信のお願いです。
明日【{{日程}}{{時間帯}}】
にグルコンがございます。
＝＝＝＝＝＝
【グルコン参加URL(Zoom)】
{{zoomリンク}}
＝＝＝＝＝＝
※グルコン動画は、後日アーカイブを送付いたします。
当日ご都合がつかない方は、アーカイブをご活用ください。
※グルコンの欠席連絡は不要です。
質問をされる場合のみ、フォームに一言欠席の旨お書きください。
【グルコン事前質問受付は、
回答期限は本日12時まで!】
課題をこなすのに、
前へ進むのに、
止まってしまっていませんか？
グルコンへの質問を受け付けますので、
ぜひ困っていること、相談したいことがありましたら
何でも、小さなことでもいいのでお送りください。
いただいた質問に
グルコンでお答えいたします。
▼グルコンアンケート受付フォームURL▼
{{事前フォームURL}}
まだ質問をお送りいただいていない方は
{{担当者}}に相談したいことを
ぜひお送りくださいませ。
【グルコンで添削をご希望の場合の注意点】
グルコンで「添削」を希望される方は、下記の要領でご提出ください。
円滑かつ公平な進行のため、ご協力をお願いいたします。
■ 対象物
・スライド
・SNS(プロフィール含む)
・LP
・ホームページ
・Googleドキュメント
など
■ 提出方法
1. 事前質問フォームに、対象物のURLリンクを必ず貼り付けてください。
2. リンクの閲覧権限を「リンクを知っている全員が閲覧可」に設定してください。(Canva、Googleドキュメント)
※グルコン直前の個別メッセージでのリンク送付は受け付けておりません。
■ 質問の書き方
「見てほしいです/添削してください」の一言ではなく、以下を具体的にお書きください。
・特に見てほしい箇所(例:◯ページのヘッドコピー、文言 など)
・現状と目的
・相談内容・質問(例:A/Bどちらの表現が適切か、第一印象を強める改善案が欲しい など)
■ 受付できないケース
・リンク未記載のご提出
・個別メッセージでの直前送付
・閲覧権限が付与されていないリンク
ご案内は以上です。
ご不明点のお問い合わせは
当メールの返信にてご連絡ください。
Shine A Light 運営事務局</t>
        </is>
      </c>
      <c r="E5" s="16" t="n"/>
    </row>
    <row r="6" ht="200" customHeight="1">
      <c r="A6" s="16" t="inlineStr">
        <is>
          <t>グルコン</t>
        </is>
      </c>
      <c r="B6" s="16" t="inlineStr">
        <is>
          <t>当日</t>
        </is>
      </c>
      <c r="C6" s="16" t="inlineStr">
        <is>
          <t>【重要】本日{{開始時}}〜グルコンの詳細です!</t>
        </is>
      </c>
      <c r="D6" s="16" t="inlineStr">
        <is>
          <t>※このメールは、『{{期}}期"Shine A Light"』の皆様にお送りしております。
こんにちは。
"Shine A Light"運営事務局です。
本日 【{{日程}}{{時間帯}}】
にグルコンがございます。
＝＝＝＝＝＝
【グルコン参加URL(Zoom)】
{{zoomリンク}}
＝＝＝＝＝＝
※グルコン動画は、後日アーカイブを送付いたします。
本日ご都合がつかない方は、アーカイブをご活用ください。
ご案内は以上です。
ご不明点のお問い合わせは
当メールの返信にてご連絡ください。
それでは後ほど、よろしくお願いいたします。
Shine A Light 運営事務局</t>
        </is>
      </c>
      <c r="E6" s="16" t="n"/>
    </row>
    <row r="7" ht="200" customHeight="1">
      <c r="A7" s="16" t="inlineStr">
        <is>
          <t>グルコン</t>
        </is>
      </c>
      <c r="B7" s="16" t="inlineStr">
        <is>
          <t>アーカイブ</t>
        </is>
      </c>
      <c r="C7" s="16" t="inlineStr">
        <is>
          <t>【グルコン】{{日程}}開催のアーカイブ動画です</t>
        </is>
      </c>
      <c r="D7" s="16" t="inlineStr">
        <is>
          <t>※このメールは、『{{期}}期"Shine A Light"』の皆様にお送りしております。
こんにちは。
Shine A Light 運営事務局です。
{{日程}}開催グルコンのアーカイブを
会員サイトにアップしましたので
参加できなかった方、復習等にご活用くださいませ。
会員サイトの
「グルコン(ヴォンドラ担当)」
のモジュールからご視聴可能です。
＝＝
{{会員サイト}}
＝＝
ご案内は以上です。
ご不明点のお問い合わせは
当メールの返信にてご連絡ください。
Shine A Light 運営事務局</t>
        </is>
      </c>
      <c r="E7" s="16" t="n"/>
    </row>
    <row r="8" ht="200" customHeight="1">
      <c r="A8" s="16" t="inlineStr">
        <is>
          <t>サポート講師ビギナーグルコン</t>
        </is>
      </c>
      <c r="B8" s="16" t="inlineStr">
        <is>
          <t>3日前</t>
        </is>
      </c>
      <c r="C8" s="16" t="inlineStr">
        <is>
          <t>【重要】{{日程短}}{{開始時}}~開催 ビギナーグルコンの質問をお送りください</t>
        </is>
      </c>
      <c r="D8" s="16" t="inlineStr">
        <is>
          <t>※このメールは、『{{期}}期"Shine A Light"』の皆様にお送りしております。
こんにちは。
"Shine A Light"運営事務局です。
{{日程}}{{時間帯}}に
サポート講師によるビギナーグルコンを開催します。
今回のサポート講師は{{担当者}}です。
グルコンへの質問を受け付けますので、
ぜひ困っていること、相談したいことがありましたら
何でも、小さなことでもいいのでお送りください。
まずは、どんな小さなことでもいいので
できることを見つけて
取り組んでいきましょう＾＾
【グルコン開催前の事前アンケートのお願い】
グルコン当日にサポート講師に
相談したいこと&amp;質問したいことを入力して
以下のアンケートフォームから送信してください。
いただいた質問に
グルコンでお答えいたします。
【回答期限:{{フォーム締切表記}}】まで
グルコンへの質問&amp;相談をお受けしております。
▼グルコンの事前アンケート▼
{{事前フォームURL}}
ご案内は以上です。
ご不明点のお問い合わせは
当メールの返信にてご連絡ください。
Shine A Light 運営事務局</t>
        </is>
      </c>
      <c r="E8" s="16" t="n"/>
    </row>
    <row r="9" ht="200" customHeight="1">
      <c r="A9" s="16" t="inlineStr">
        <is>
          <t>サポート講師ビギナーグルコン</t>
        </is>
      </c>
      <c r="B9" s="16" t="inlineStr">
        <is>
          <t>前日</t>
        </is>
      </c>
      <c r="C9" s="16" t="inlineStr">
        <is>
          <t>【重要】明日{{開始時}}〜ビギナーグルコン詳細・事前質問受付は本日12時まで!</t>
        </is>
      </c>
      <c r="D9" s="16" t="inlineStr">
        <is>
          <t>※このメールは、『{{期}}期"Shine A Light"』の皆様にお送りしております。
こんにちは。
"Shine A Light"運営事務局です。
明日のビギナーグルコンの詳細のお知らせと
事前質問アンケート送信のお願いです。
明日【{{日程}}{{時間帯}}】
にビギナーグルコンがございます。
サポート講師:{{担当者}}
＝＝＝＝＝＝
【参加URL(Zoom)】
{{zoomリンク}}
＝＝＝＝＝＝
【事前質問受付は本日12時まで!】
▼事前アンケート▼
{{事前フォームURL}}
ご案内は以上です。
ご不明点のお問い合わせは
当メールの返信にてご連絡ください。
Shine A Light 運営事務局</t>
        </is>
      </c>
      <c r="E9" s="16" t="n"/>
    </row>
    <row r="10" ht="200" customHeight="1">
      <c r="A10" s="16" t="inlineStr">
        <is>
          <t>サポート講師ビギナーグルコン</t>
        </is>
      </c>
      <c r="B10" s="16" t="inlineStr">
        <is>
          <t>当日</t>
        </is>
      </c>
      <c r="C10" s="16" t="inlineStr">
        <is>
          <t>【重要】本日{{開始時}}〜ビギナーグルコンの詳細です!</t>
        </is>
      </c>
      <c r="D10" s="16" t="inlineStr">
        <is>
          <t>※このメールは、『{{期}}期"Shine A Light"』の皆様にお送りしております。
こんにちは。
"Shine A Light"運営事務局です。
本日【{{日程}}{{時間帯}}】
にビギナーグルコンがございます。
サポート講師:{{担当者}}
＝＝＝＝＝＝
【参加URL(Zoom)】
{{zoomリンク}}
＝＝＝＝＝＝
ご案内は以上です。
ご不明点のお問い合わせは
当メールの返信にてご連絡ください。
それでは後ほど、よろしくお願いいたします。
Shine A Light 運営事務局</t>
        </is>
      </c>
      <c r="E10" s="16" t="n"/>
    </row>
    <row r="11" ht="200" customHeight="1">
      <c r="A11" s="16" t="inlineStr">
        <is>
          <t>サポート講師ビギナーグルコン</t>
        </is>
      </c>
      <c r="B11" s="16" t="inlineStr">
        <is>
          <t>アーカイブ</t>
        </is>
      </c>
      <c r="C11" s="16" t="inlineStr">
        <is>
          <t>【ビギナーグルコン】{{日程}}開催のアーカイブ動画です</t>
        </is>
      </c>
      <c r="D11" s="16" t="inlineStr">
        <is>
          <t>※このメールは、『{{期}}期"Shine A Light"』の皆様にお送りしております。
こんにちは。
Shine A Light 運営事務局です。
{{日程}}のビギナーグルコンのアーカイブを
会員サイトにアップしました!
参加できなかった方、
復習等にご活用くださいませ。
＝＝＝＝＝＝
{{会員サイト}}
＝＝＝＝＝＝
ご案内は以上です。
ご不明点のお問い合わせは
当メールの返信にてご連絡ください。
Shine A Light 運営事務局</t>
        </is>
      </c>
      <c r="E11" s="16" t="n"/>
    </row>
    <row r="12" ht="200" customHeight="1">
      <c r="A12" s="16" t="inlineStr">
        <is>
          <t>キャッチアップマンデー</t>
        </is>
      </c>
      <c r="B12" s="16" t="inlineStr">
        <is>
          <t>前日</t>
        </is>
      </c>
      <c r="C12" s="16" t="inlineStr">
        <is>
          <t>【重要】明日{{開始時}}〜キャッチアップマンデー詳細</t>
        </is>
      </c>
      <c r="D12" s="16" t="inlineStr">
        <is>
          <t>※このメールは、『{{期}}期"Shine A Light"』の皆さまにお送りしております。
こんにちは。
Shine A Light 運営事務局です。
明日【{{日程}}{{時間帯}}】
にキャッチアップマンデーがございます。
＝＝＝＝＝＝
【参加URL(Zoom)】
{{zoomリンク}}
＝＝＝＝＝＝
担当:{{担当者}}
ご案内は以上です。
ご不明点のお問い合わせは
当メールの返信にてご連絡ください。
Shine A Light 運営事務局</t>
        </is>
      </c>
      <c r="E12" s="16" t="n"/>
    </row>
    <row r="13" ht="200" customHeight="1">
      <c r="A13" s="16" t="inlineStr">
        <is>
          <t>キャッチアップマンデー</t>
        </is>
      </c>
      <c r="B13" s="16" t="inlineStr">
        <is>
          <t>当日</t>
        </is>
      </c>
      <c r="C13" s="16" t="inlineStr">
        <is>
          <t>【重要】本日{{開始時}}〜キャッチアップマンデー詳細</t>
        </is>
      </c>
      <c r="D13" s="16" t="inlineStr">
        <is>
          <t>※このメールは、『{{期}}期"Shine A Light"』の皆さまにお送りしております。
こんにちは。
Shine A Light 運営事務局です。
本日【{{日程}}{{時間帯}}】
にキャッチアップマンデーがございます。
＝＝＝＝＝＝
【参加URL(Zoom)】
{{zoomリンク}}
＝＝＝＝＝＝
担当:{{担当者}}
ご案内は以上です。
ご不明点のお問い合わせは
当メールの返信にてご連絡ください。
それでは後ほど、よろしくお願いいたします。
Shine A Light 運営事務局</t>
        </is>
      </c>
      <c r="E13" s="16" t="n"/>
    </row>
    <row r="14" ht="200" customHeight="1">
      <c r="A14" s="16" t="inlineStr">
        <is>
          <t>キャッチアップマンデー</t>
        </is>
      </c>
      <c r="B14" s="16" t="inlineStr">
        <is>
          <t>アーカイブ</t>
        </is>
      </c>
      <c r="C14" s="16" t="inlineStr">
        <is>
          <t>【重要】{{日程}}キャッチアップマンデーのアーカイブ動画です</t>
        </is>
      </c>
      <c r="D14" s="16" t="inlineStr">
        <is>
          <t>※このメールは、『{{期}}期"Shine A Light"』の皆さまにお送りしております。
こんにちは。
Shine A Light 運営事務局です。
{{日程}}に開催しました
キャッチアップマンデーの動画を
会員サイトにアップしました!
参加できなかった方、
復習等にご活用くださいませ。
＝＝＝＝＝＝
{{会員サイト}}
＝＝＝＝＝＝
ご案内は以上です。
ご不明点のお問い合わせは
当メールの返信にてご連絡ください。
Shine A Light 運営事務局</t>
        </is>
      </c>
      <c r="E14" s="16" t="n"/>
    </row>
    <row r="15" ht="200" customHeight="1">
      <c r="A15" s="16" t="inlineStr">
        <is>
          <t>キャッチアップウェンズデー</t>
        </is>
      </c>
      <c r="B15" s="16" t="inlineStr">
        <is>
          <t>前日</t>
        </is>
      </c>
      <c r="C15" s="16" t="inlineStr">
        <is>
          <t>【重要】明日{{開始時}}〜キャッチアップウェンズデー詳細</t>
        </is>
      </c>
      <c r="D15" s="16" t="inlineStr">
        <is>
          <t>※このメールは、『{{期}}期"Shine A Light"』の皆さまにお送りしております。
こんにちは。
Shine A Light 運営事務局です。
明日【{{日程}}{{時間帯}}】
にキャッチアップウェンズデーがございます。
＝＝＝＝＝＝
【参加URL(Zoom)】
{{zoomリンク}}
＝＝＝＝＝＝
サポート講師:{{担当者}}
ご案内は以上です。
ご不明点のお問い合わせは
当メールの返信にてご連絡ください。
Shine A Light 運営事務局</t>
        </is>
      </c>
      <c r="E15" s="16" t="n"/>
    </row>
    <row r="16" ht="200" customHeight="1">
      <c r="A16" s="16" t="inlineStr">
        <is>
          <t>キャッチアップウェンズデー</t>
        </is>
      </c>
      <c r="B16" s="16" t="inlineStr">
        <is>
          <t>当日</t>
        </is>
      </c>
      <c r="C16" s="16" t="inlineStr">
        <is>
          <t>【重要】本日{{開始時}}〜キャッチアップウェンズデー詳細</t>
        </is>
      </c>
      <c r="D16" s="16" t="inlineStr">
        <is>
          <t>※このメールは、『{{期}}期"Shine A Light"』の皆さまにお送りしております。
こんにちは。
Shine A Light 運営事務局です。
本日【{{日程}}{{時間帯}}】
にキャッチアップウェンズデーがございます。
＝＝＝＝＝＝
【参加URL(Zoom)】
{{zoomリンク}}
＝＝＝＝＝＝
サポート講師:{{担当者}}
ご案内は以上です。
ご不明点のお問い合わせは
当メールの返信にてご連絡ください。
それでは後ほど、よろしくお願いいたします。
Shine A Light 運営事務局</t>
        </is>
      </c>
      <c r="E16" s="16" t="n"/>
    </row>
    <row r="17" ht="200" customHeight="1">
      <c r="A17" s="16" t="inlineStr">
        <is>
          <t>キャッチアップウェンズデー</t>
        </is>
      </c>
      <c r="B17" s="16" t="inlineStr">
        <is>
          <t>アーカイブ</t>
        </is>
      </c>
      <c r="C17" s="16" t="inlineStr">
        <is>
          <t>【重要】{{日程}}キャッチアップウェンズデーのアーカイブ動画です</t>
        </is>
      </c>
      <c r="D17" s="16" t="inlineStr">
        <is>
          <t>※このメールは、『{{期}}期"Shine A Light"』の皆さまにお送りしております。
こんにちは。
Shine A Light 運営事務局です。
{{日程}}に開催しました
キャッチアップウェンズデーの動画を
会員サイトにアップしました!
参加できなかった方、
復習等にご活用くださいませ。
＝＝＝＝＝＝
{{会員サイト}}
＝＝＝＝＝＝
ご案内は以上です。
ご不明点のお問い合わせは
当メールの返信にてご連絡ください。
Shine A Light 運営事務局</t>
        </is>
      </c>
      <c r="E17" s="16" t="n"/>
    </row>
    <row r="18" ht="200" customHeight="1">
      <c r="A18" s="16" t="inlineStr">
        <is>
          <t>課題作業会</t>
        </is>
      </c>
      <c r="B18" s="16" t="inlineStr">
        <is>
          <t>3日前</t>
        </is>
      </c>
      <c r="C18" s="16" t="inlineStr">
        <is>
          <t>【重要】{{日程短}}{{開始時}}~開催 課題作業会の質問をお送りください</t>
        </is>
      </c>
      <c r="D18" s="16" t="inlineStr">
        <is>
          <t>※このメールは、『{{期}}期"Shine A Light"』の皆様にお送りしております。
こんにちは。
"Shine A Light"運営事務局です。
{{日程}}{{開始時}}〜開催の
課題作業会についてのご連絡です。
「作業会でこんな作業を一緒にしてほしい!」
「〇〇に困っている!」
ということがありましたら、
事前にお伺いしますので
事前フォームに入力ください。
【回答期限:{{フォーム締切表記}}】まで
作業会への質問&amp;相談をお受けしております。
＝＝＝＝＝＝
▼作業会の事前フォーム▼
{{事前フォームURL}}
＝＝＝＝＝＝
《作業会の詳細》
【日時】
{{日程}}{{時間帯}}
・自由参加
・途中参加、途中退出OK
(連絡不要です＾＾)
【担当講師】 {{担当者}}
ご案内は以上です。
ご不明点のお問い合わせは
当メールの返信にてご連絡ください。
Shine A Light 運営事務局</t>
        </is>
      </c>
      <c r="E18" s="16" t="n"/>
    </row>
    <row r="19" ht="200" customHeight="1">
      <c r="A19" s="16" t="inlineStr">
        <is>
          <t>課題作業会</t>
        </is>
      </c>
      <c r="B19" s="16" t="inlineStr">
        <is>
          <t>前日</t>
        </is>
      </c>
      <c r="C19" s="16" t="inlineStr">
        <is>
          <t>【重要】明日{{開始時}}〜作業会の詳細・事前質問受付は本日12時まで!</t>
        </is>
      </c>
      <c r="D19" s="16" t="inlineStr">
        <is>
          <t>※このメールは、『{{期}}期"Shine A Light"』の皆様にお送りしております。
こんにちは。
"Shine A Light"運営事務局です。
明日の作業会の詳細のお知らせと
事前フォーム送信のお願いです。
明日【 {{日程}}{{時間帯}} 】
に作業会がございます。
＝＝＝＝＝＝
【参加URL(Zoom)】
{{zoomリンク}}
＝＝＝＝＝＝
※作業会の欠席連絡は不要です。
【日時】
{{日程}}{{時間帯}}
・自由参加
・途中参加、途中退出OK
【担当講師】 {{担当者}}
【作業会の事前質問の
回答期限は本日12時まで!】
「作業会でこんな作業を一緒にしてほしい!」
「〇〇に困っている!」
ということがありましたら、
事前にお伺いしますので
事前フォームに入力ください。
＝＝＝＝＝＝
▼作業会の事前フォーム▼
{{事前フォームURL}}
＝＝＝＝＝＝
ご案内は以上です。
ご不明点のお問い合わせは
当メールの返信にてご連絡ください。
Shine A Light 運営事務局</t>
        </is>
      </c>
      <c r="E19" s="16" t="n"/>
    </row>
    <row r="20" ht="200" customHeight="1">
      <c r="A20" s="16" t="inlineStr">
        <is>
          <t>課題作業会</t>
        </is>
      </c>
      <c r="B20" s="16" t="inlineStr">
        <is>
          <t>当日</t>
        </is>
      </c>
      <c r="C20" s="16" t="inlineStr">
        <is>
          <t>【重要】本日{{開始時}}〜作業会の詳細です!</t>
        </is>
      </c>
      <c r="D20" s="16" t="inlineStr">
        <is>
          <t>※このメールは、『{{期}}期"Shine A Light"』の皆様にお送りしております。
こんにちは。
"Shine A Light"運営事務局です。
本日【 {{日程}}{{時間帯}} 】
に作業会がございます。
＝＝＝＝＝＝
【参加URL(Zoom)】
{{zoomリンク}}
＝＝＝＝＝＝
《作業会の詳細》
【日時】
{{日程}}{{時間帯}}
・自由参加
・途中参加、途中退出OK
【担当講師】 {{担当者}}
ご案内は以上です。
ご不明点のお問い合わせは
当メールの返信にてご連絡ください。
それでは後ほど、よろしくお願いいたします。
Shine A Light 運営事務局</t>
        </is>
      </c>
      <c r="E20" s="16" t="n"/>
    </row>
    <row r="21" ht="200" customHeight="1">
      <c r="A21" s="16" t="inlineStr">
        <is>
          <t>課題作業会</t>
        </is>
      </c>
      <c r="B21" s="16" t="inlineStr">
        <is>
          <t>アーカイブ</t>
        </is>
      </c>
      <c r="C21" s="16" t="inlineStr">
        <is>
          <t>【作業会】{{日程}}開催のアーカイブ動画です</t>
        </is>
      </c>
      <c r="D21" s="16" t="inlineStr">
        <is>
          <t>※このメールは、『{{期}}期"Shine A Light"』の皆様にお送りしております。
こんにちは。
"Shine A Light"運営事務局です。
{{日程}}の作業会のアーカイブを
会員サイトにアップしました!
参加できなかった方や
復習にご活用くださいませ。
＝＝＝＝＝＝
{{会員サイト}}
＝＝＝＝＝＝
ご案内は以上です。
ご不明点のお問い合わせは
当メールの返信にてご連絡ください。
Shine A Light 運営事務局</t>
        </is>
      </c>
      <c r="E21" s="16" t="n"/>
    </row>
    <row r="22" ht="200" customHeight="1">
      <c r="A22" s="16" t="inlineStr">
        <is>
          <t>第1回動画配信</t>
        </is>
      </c>
      <c r="B22" s="16" t="inlineStr">
        <is>
          <t>当日</t>
        </is>
      </c>
      <c r="C22" s="16" t="inlineStr">
        <is>
          <t>【重要】第1回目の講義動画をお届けいたします</t>
        </is>
      </c>
      <c r="D22" s="16" t="inlineStr">
        <is>
          <t>※このメールは、『{{期}}期"Shine A Light"』の皆さまにお送りしております。
こんにちは
Shine A Light 運営事務局です。
本日、第1回目の講義動画を会員サイトにアップいたしました。
＝＝＝＝＝＝＝
{{会員サイト}}
＝＝＝＝＝＝＝
第1回目の講義動画をご視聴ください。
＜第1回目:ブランディング＞
(動画本数・内容の詳細は、下書きに直接追記してください)
━━━━━━━━━━━━━━━━━━━━━━
【要挿入:Facebook投稿リンク】
下記3つのFB投稿リンクを、送信前に貼り付けてください
▼第1回目講義まとめ
(URL挿入)
▼課題をこなすための動画リンクなど
(URL挿入)
▼課題提出先リンクまとめ
(URL挿入)
━━━━━━━━━━━━━━━━━━━━━━
課題提出の期限は次回の講義動画配信日までとなっております。
ご案内は以上です。
ご不明点のお問い合わせは
当メールの返信にてご連絡ください。
Shine A Light 運営事務局</t>
        </is>
      </c>
      <c r="E22" s="16" t="n"/>
    </row>
    <row r="23" ht="200" customHeight="1">
      <c r="A23" s="16" t="inlineStr">
        <is>
          <t>第2回動画配信</t>
        </is>
      </c>
      <c r="B23" s="16" t="inlineStr">
        <is>
          <t>当日</t>
        </is>
      </c>
      <c r="C23" s="16" t="inlineStr">
        <is>
          <t>【重要】第2回目の講義動画をお届けいたします</t>
        </is>
      </c>
      <c r="D23" s="16" t="inlineStr">
        <is>
          <t>※このメールは、『{{期}}期"Shine A Light"』の皆さまにお送りしております。
こんにちは
Shine A Light 運営事務局です。
本日、第2回目の講義動画を会員サイトにアップいたしました。
＝＝＝＝＝＝＝
{{会員サイト}}
＝＝＝＝＝＝＝
第2回目の講義動画をご視聴ください。
＜第2回目:商品設計＞
(動画本数・内容の詳細は、下書きに直接追記してください)
━━━━━━━━━━━━━━━━━━━━━━
【要挿入:Facebook投稿リンク】
下記3つのFB投稿リンクを、送信前に貼り付けてください
▼第2回目講義まとめ
(URL挿入)
▼課題をこなすための動画リンクなど
(URL挿入)
▼課題提出先リンクまとめ
(URL挿入)
━━━━━━━━━━━━━━━━━━━━━━
課題提出の期限は次回の講義動画配信日までとなっております。
ご案内は以上です。
ご不明点のお問い合わせは
当メールの返信にてご連絡ください。
Shine A Light 運営事務局</t>
        </is>
      </c>
      <c r="E23" s="16" t="n"/>
    </row>
    <row r="24" ht="200" customHeight="1">
      <c r="A24" s="16" t="inlineStr">
        <is>
          <t>第3回動画配信</t>
        </is>
      </c>
      <c r="B24" s="16" t="inlineStr">
        <is>
          <t>当日</t>
        </is>
      </c>
      <c r="C24" s="16" t="inlineStr">
        <is>
          <t>【重要】第3回目の講義動画をお届けいたします</t>
        </is>
      </c>
      <c r="D24" s="16" t="inlineStr">
        <is>
          <t>※このメールは、『{{期}}期"Shine A Light"』の皆さまにお送りしております。
こんにちは
Shine A Light 運営事務局です。
本日、第3回目の講義動画を会員サイトにアップいたしました。
＝＝＝＝＝＝＝
{{会員サイト}}
＝＝＝＝＝＝＝
第3回目の講義動画をご視聴ください。
＜第3回目:集客・SNS＞
(動画本数・内容の詳細は、下書きに直接追記してください)
━━━━━━━━━━━━━━━━━━━━━━
【要挿入:Facebook投稿リンク】
下記3つのFB投稿リンクを、送信前に貼り付けてください
▼第3回目講義まとめ
(URL挿入)
▼課題をこなすための動画リンクなど
(URL挿入)
▼課題提出先リンクまとめ
(URL挿入)
━━━━━━━━━━━━━━━━━━━━━━
課題提出の期限は次回の講義動画配信日までとなっております。
ご案内は以上です。
ご不明点のお問い合わせは
当メールの返信にてご連絡ください。
Shine A Light 運営事務局</t>
        </is>
      </c>
      <c r="E24" s="16" t="n"/>
    </row>
    <row r="25" ht="200" customHeight="1">
      <c r="A25" s="16" t="inlineStr">
        <is>
          <t>第4回動画配信</t>
        </is>
      </c>
      <c r="B25" s="16" t="inlineStr">
        <is>
          <t>当日</t>
        </is>
      </c>
      <c r="C25" s="16" t="inlineStr">
        <is>
          <t>【重要】第4回目の講義動画をお届けいたします</t>
        </is>
      </c>
      <c r="D25" s="16" t="inlineStr">
        <is>
          <t>※このメールは、『{{期}}期"Shine A Light"』の皆さまにお送りしております。
こんにちは
Shine A Light 運営事務局です。
本日、第4回目の講義動画を会員サイトにアップいたしました。
＝＝＝＝＝＝＝
{{会員サイト}}
＝＝＝＝＝＝＝
第4回目の講義動画をご視聴ください。
＜第4回目:セールス＞
(動画本数・内容の詳細は、下書きに直接追記してください)
━━━━━━━━━━━━━━━━━━━━━━
【要挿入:Facebook投稿リンク】
下記3つのFB投稿リンクを、送信前に貼り付けてください
▼第4回目講義まとめ
(URL挿入)
▼課題をこなすための動画リンクなど
(URL挿入)
▼課題提出先リンクまとめ
(URL挿入)
━━━━━━━━━━━━━━━━━━━━━━
課題提出の期限は次回の講義動画配信日までとなっております。
ご案内は以上です。
ご不明点のお問い合わせは
当メールの返信にてご連絡ください。
Shine A Light 運営事務局</t>
        </is>
      </c>
      <c r="E25" s="16" t="n"/>
    </row>
    <row r="26" ht="200" customHeight="1">
      <c r="A26" s="16" t="inlineStr">
        <is>
          <t>第5回動画配信</t>
        </is>
      </c>
      <c r="B26" s="16" t="inlineStr">
        <is>
          <t>当日</t>
        </is>
      </c>
      <c r="C26" s="16" t="inlineStr">
        <is>
          <t>【重要】第5回目の講義動画をお届けいたします</t>
        </is>
      </c>
      <c r="D26" s="16" t="inlineStr">
        <is>
          <t>※このメールは、『{{期}}期"Shine A Light"』の皆さまにお送りしております。
こんにちは
Shine A Light 運営事務局です。
本日、第5回目の講義動画を会員サイトにアップいたしました。
＝＝＝＝＝＝＝
{{会員サイト}}
＝＝＝＝＝＝＝
第5回目の講義動画をご視聴ください。
＜第5回目:オンライン化＞
(動画本数・内容の詳細は、下書きに直接追記してください)
━━━━━━━━━━━━━━━━━━━━━━
【要挿入:Facebook投稿リンク】
下記3つのFB投稿リンクを、送信前に貼り付けてください
▼第5回目講義まとめ
(URL挿入)
▼課題をこなすための動画リンクなど
(URL挿入)
▼課題提出先リンクまとめ
(URL挿入)
━━━━━━━━━━━━━━━━━━━━━━
課題提出の期限は次回の講義動画配信日までとなっております。
ご案内は以上です。
ご不明点のお問い合わせは
当メールの返信にてご連絡ください。
Shine A Light 運営事務局</t>
        </is>
      </c>
      <c r="E26" s="16" t="n"/>
    </row>
    <row r="27" ht="200" customHeight="1">
      <c r="A27" s="16" t="inlineStr">
        <is>
          <t>第6回動画配信</t>
        </is>
      </c>
      <c r="B27" s="16" t="inlineStr">
        <is>
          <t>当日</t>
        </is>
      </c>
      <c r="C27" s="16" t="inlineStr">
        <is>
          <t>【重要】第6回目の講義動画をお届けいたします</t>
        </is>
      </c>
      <c r="D27" s="16" t="inlineStr">
        <is>
          <t>※このメールは、『{{期}}期"Shine A Light"』の皆さまにお送りしております。
こんにちは
Shine A Light 運営事務局です。
本日、第6回目の講義動画を会員サイトにアップいたしました。
＝＝＝＝＝＝＝
{{会員サイト}}
＝＝＝＝＝＝＝
第6回目の講義動画をご視聴ください。
＜第6回目:リピート・継続化＞
(動画本数・内容の詳細は、下書きに直接追記してください)
━━━━━━━━━━━━━━━━━━━━━━
【要挿入:Facebook投稿リンク】
下記3つのFB投稿リンクを、送信前に貼り付けてください
▼第6回目講義まとめ
(URL挿入)
▼課題をこなすための動画リンクなど
(URL挿入)
▼課題提出先リンクまとめ
(URL挿入)
━━━━━━━━━━━━━━━━━━━━━━
課題提出の期限は次回の講義動画配信日までとなっております。
ご案内は以上です。
ご不明点のお問い合わせは
当メールの返信にてご連絡ください。
Shine A Light 運営事務局</t>
        </is>
      </c>
      <c r="E27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2026-08-07T15:28:11Z</dcterms:created>
  <dcterms:modified xsi:type="dcterms:W3CDTF">2026-08-07T15:28:14Z</dcterms:modified>
</cp:coreProperties>
</file>