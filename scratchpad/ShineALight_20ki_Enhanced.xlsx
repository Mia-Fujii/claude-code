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使い方" sheetId="1" state="visible" r:id="rId1"/>
    <sheet name="基本設定" sheetId="2" state="visible" r:id="rId2"/>
    <sheet name="タスク管理" sheetId="3" state="visible" r:id="rId3"/>
    <sheet name="メールテンプレート" sheetId="4" state="visible" r:id="rId4"/>
  </sheets>
  <definedNames>
    <definedName name="_xlnm._FilterDatabase" localSheetId="2" hidden="1">'タスク管理'!$A$1:$Z$29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m&quot;月&quot;d&quot;日（&quot;ddd&quot;）&quot;"/>
  </numFmts>
  <fonts count="16">
    <font>
      <name val="Arial"/>
      <color rgb="FF000000"/>
      <sz val="10"/>
      <scheme val="minor"/>
    </font>
    <font>
      <name val="Arial"/>
      <b val="1"/>
      <color theme="1"/>
    </font>
    <font>
      <name val="Google Sans Text"/>
      <b val="1"/>
      <color rgb="FF1F1F1F"/>
    </font>
    <font>
      <name val="Arial"/>
      <color theme="1"/>
      <scheme val="minor"/>
    </font>
    <font>
      <name val="Arial"/>
      <color theme="1"/>
    </font>
    <font>
      <name val="Montserrat"/>
      <b val="1"/>
      <color rgb="FFFFFFFF"/>
      <sz val="11"/>
    </font>
    <font>
      <name val="Google Sans Text"/>
      <color rgb="FF1F1F1F"/>
    </font>
    <font>
      <name val="Arial"/>
      <color rgb="FF1155CC"/>
      <u val="single"/>
    </font>
    <font>
      <name val="Roboto"/>
      <color theme="1"/>
    </font>
    <font>
      <name val="Arial"/>
      <b val="1"/>
      <color rgb="001F3864"/>
      <sz val="16"/>
    </font>
    <font>
      <name val="Arial"/>
      <b val="1"/>
      <color rgb="001F3864"/>
      <sz val="11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i val="1"/>
      <color rgb="00595959"/>
      <sz val="9"/>
    </font>
    <font>
      <name val="Arial"/>
      <b val="1"/>
      <color rgb="00FFFFFF"/>
      <sz val="11"/>
    </font>
  </fonts>
  <fills count="12">
    <fill>
      <patternFill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3A5F8F"/>
        <bgColor rgb="FF3A5F8F"/>
      </patternFill>
    </fill>
    <fill>
      <patternFill patternType="solid">
        <fgColor rgb="FFF8F8FF"/>
        <bgColor rgb="FFF8F8FF"/>
      </patternFill>
    </fill>
    <fill>
      <patternFill patternType="solid">
        <fgColor rgb="FFFFFFFF"/>
        <bgColor rgb="FFFFFFFF"/>
      </patternFill>
    </fill>
    <fill>
      <patternFill patternType="solid">
        <fgColor rgb="004472C4"/>
      </patternFill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2"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/>
    </xf>
    <xf numFmtId="0" fontId="3" fillId="0" borderId="0" applyAlignment="1" pivotButton="0" quotePrefix="0" xfId="0">
      <alignment vertical="center"/>
    </xf>
    <xf numFmtId="164" fontId="2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0" pivotButton="0" quotePrefix="0" xfId="0"/>
    <xf numFmtId="0" fontId="4" fillId="0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1" fillId="4" borderId="0" applyAlignment="1" pivotButton="0" quotePrefix="0" xfId="0">
      <alignment horizontal="center"/>
    </xf>
    <xf numFmtId="0" fontId="4" fillId="0" borderId="0" pivotButton="0" quotePrefix="0" xfId="0"/>
    <xf numFmtId="0" fontId="5" fillId="5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6" fillId="0" borderId="0" pivotButton="0" quotePrefix="0" xfId="0"/>
    <xf numFmtId="0" fontId="4" fillId="3" borderId="0" applyAlignment="1" pivotButton="0" quotePrefix="0" xfId="0">
      <alignment vertical="center"/>
    </xf>
    <xf numFmtId="164" fontId="6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center"/>
    </xf>
    <xf numFmtId="0" fontId="5" fillId="5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8" fillId="6" borderId="0" applyAlignment="1" pivotButton="0" quotePrefix="0" xfId="0">
      <alignment vertical="center"/>
    </xf>
    <xf numFmtId="164" fontId="4" fillId="4" borderId="0" applyAlignment="1" pivotButton="0" quotePrefix="0" xfId="0">
      <alignment horizontal="right"/>
    </xf>
    <xf numFmtId="0" fontId="4" fillId="0" borderId="0" applyAlignment="1" pivotButton="0" quotePrefix="0" xfId="0">
      <alignment horizontal="center"/>
    </xf>
    <xf numFmtId="0" fontId="8" fillId="6" borderId="0" applyAlignment="1" pivotButton="0" quotePrefix="0" xfId="0">
      <alignment vertical="center"/>
    </xf>
    <xf numFmtId="164" fontId="4" fillId="0" borderId="0" applyAlignment="1" pivotButton="0" quotePrefix="0" xfId="0">
      <alignment horizontal="right"/>
    </xf>
    <xf numFmtId="0" fontId="4" fillId="4" borderId="0" applyAlignment="1" pivotButton="0" quotePrefix="0" xfId="0">
      <alignment horizontal="center"/>
    </xf>
    <xf numFmtId="0" fontId="8" fillId="7" borderId="0" applyAlignment="1" pivotButton="0" quotePrefix="0" xfId="0">
      <alignment vertical="center"/>
    </xf>
    <xf numFmtId="0" fontId="6" fillId="0" borderId="0" pivotButton="0" quotePrefix="0" xfId="0"/>
    <xf numFmtId="0" fontId="8" fillId="7" borderId="0" applyAlignment="1" pivotButton="0" quotePrefix="0" xfId="0">
      <alignment vertical="center"/>
    </xf>
    <xf numFmtId="20" fontId="6" fillId="0" borderId="0" applyAlignment="1" pivotButton="0" quotePrefix="0" xfId="0">
      <alignment horizontal="center"/>
    </xf>
    <xf numFmtId="164" fontId="4" fillId="4" borderId="0" applyAlignment="1" pivotButton="0" quotePrefix="0" xfId="0">
      <alignment horizontal="center"/>
    </xf>
    <xf numFmtId="164" fontId="4" fillId="0" borderId="0" pivotButton="0" quotePrefix="0" xfId="0"/>
    <xf numFmtId="0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8" borderId="0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top" wrapText="1"/>
    </xf>
    <xf numFmtId="0" fontId="11" fillId="9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5" fillId="8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vertical="top" wrapText="1"/>
    </xf>
    <xf numFmtId="0" fontId="11" fillId="11" borderId="1" applyAlignment="1" pivotButton="0" quotePrefix="0" xfId="0">
      <alignment vertical="top" wrapText="1"/>
    </xf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3A5F8F"/>
          <bgColor rgb="FF3A5F8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1" defaultTableStyle="TableStyleMedium9" defaultPivotStyle="PivotStyleLight16">
    <tableStyle name="メールテンプレート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system</author>
  </authors>
  <commentList>
    <comment ref="M1" authorId="0" shapeId="0">
      <text>
        <t>選択肢：若菜グルコン共通 / 若菜マンデー共通 / 個別 / 未定(サポート講師待ち) / Zoomなし
GASはこの値を見てZoomリンクの取得元を決めます。</t>
      </text>
    </comment>
    <comment ref="P1" authorId="0" shapeId="0">
      <text>
        <t>={{変数名}} は基本設定シートの該当値を自動参照。
直接URLを書くこともできます。</t>
      </text>
    </comment>
  </commentList>
</comments>
</file>

<file path=xl/comments/comment2.xml><?xml version="1.0" encoding="utf-8"?>
<comments xmlns="http://schemas.openxmlformats.org/spreadsheetml/2006/main">
  <authors>
    <author>system</author>
  </authors>
  <commentList>
    <comment ref="E1" authorId="0" shapeId="0">
      <text>
        <t>テンプレ内の {{zoomリンク}} は、GAS実行時に「タスク管理」シートのZoomソースに従って
自動で解決されます（若菜グルコン共通 / 若菜マンデー共通 / 個別 / 未定）。
この列は基本空でOK。テンプレ固有のURLを埋め込みたいときだけ使う。</t>
      </text>
    </comment>
  </commentList>
</comments>
</file>

<file path=xl/tables/table1.xml><?xml version="1.0" encoding="utf-8"?>
<table xmlns="http://schemas.openxmlformats.org/spreadsheetml/2006/main" id="1" name="Table_1" displayName="Table_1" ref="A1:E17" headerRowCount="1">
  <tableColumns count="5">
    <tableColumn id="1" name="講義内容"/>
    <tableColumn id="2" name="タイミング"/>
    <tableColumn id="3" name="件名"/>
    <tableColumn id="4" name="本文"/>
    <tableColumn id="5" name="zoomリンク"/>
  </tableColumns>
  <tableStyleInfo name="メールテンプレート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2"/>
  <sheetViews>
    <sheetView workbookViewId="0">
      <selection activeCell="A1" sqref="A1"/>
    </sheetView>
  </sheetViews>
  <sheetFormatPr baseColWidth="8" defaultRowHeight="15"/>
  <cols>
    <col width="3" customWidth="1" style="31" min="1" max="1"/>
    <col width="26" customWidth="1" style="31" min="2" max="2"/>
    <col width="100" customWidth="1" style="31" min="3" max="3"/>
  </cols>
  <sheetData>
    <row r="2">
      <c r="B2" s="32" t="inlineStr">
        <is>
          <t>Shine A Light 20期 自動化マスタ</t>
        </is>
      </c>
    </row>
    <row r="3" ht="22" customHeight="1" s="31">
      <c r="B3" s="33" t="inlineStr"/>
      <c r="C3" s="34" t="inlineStr"/>
    </row>
    <row r="4" ht="45" customHeight="1" s="31">
      <c r="B4" s="33" t="inlineStr">
        <is>
          <t>このファイルの位置づけ</t>
        </is>
      </c>
      <c r="C4" s="34" t="inlineStr">
        <is>
          <t>20期の講座運営を、Gmail下書き自動作成＋Chatwork通知＋フォーム自動開閉で
回すためのマスタデータです。GAS（Google Apps Script）がこのファイルを毎朝読んで動きます。</t>
        </is>
      </c>
    </row>
    <row r="5" ht="22" customHeight="1" s="31">
      <c r="B5" s="33" t="inlineStr"/>
      <c r="C5" s="34" t="inlineStr"/>
    </row>
    <row r="6" ht="22" customHeight="1" s="31">
      <c r="B6" s="33" t="inlineStr">
        <is>
          <t>シート構成</t>
        </is>
      </c>
      <c r="C6" s="34" t="inlineStr"/>
    </row>
    <row r="7" ht="45" customHeight="1" s="31">
      <c r="B7" s="33" t="inlineStr">
        <is>
          <t>① 基本設定</t>
        </is>
      </c>
      <c r="C7" s="34" t="inlineStr">
        <is>
          <t>全メール共通で使う値（会員サイト、Zoomプール、フォームURL、Chatwork設定、署名 など）。
期をまたいで基本変わらない値の置き場。</t>
        </is>
      </c>
    </row>
    <row r="8" ht="45" customHeight="1" s="31">
      <c r="B8" s="33" t="inlineStr">
        <is>
          <t>② タスク管理</t>
        </is>
      </c>
      <c r="C8" s="34" t="inlineStr">
        <is>
          <t>20期の全イベントを1行1件で管理（29件入力済み）。
GASが毎朝ここを読んで「今日は各イベントの何のメール送信日か」を判定します。</t>
        </is>
      </c>
    </row>
    <row r="9" ht="45" customHeight="1" s="31">
      <c r="B9" s="33" t="inlineStr">
        <is>
          <t>③ メールテンプレート</t>
        </is>
      </c>
      <c r="C9" s="34" t="inlineStr">
        <is>
          <t>イベント種別 × タイミング（3日前／前日／当日／アーカイブ など）ごとの雛形。
{{差込項目}} が自動置換されます。</t>
        </is>
      </c>
    </row>
    <row r="10" ht="22" customHeight="1" s="31">
      <c r="B10" s="33" t="inlineStr"/>
      <c r="C10" s="34" t="inlineStr"/>
    </row>
    <row r="11" ht="22" customHeight="1" s="31">
      <c r="B11" s="33" t="inlineStr">
        <is>
          <t>色分けルール</t>
        </is>
      </c>
      <c r="C11" s="34" t="inlineStr"/>
    </row>
    <row r="12" ht="22" customHeight="1" s="31">
      <c r="B12" s="33" t="inlineStr">
        <is>
          <t>🟡 黄色セル</t>
        </is>
      </c>
      <c r="C12" s="34" t="inlineStr">
        <is>
          <t>あなたが埋める場所（Zoomリンク、フォームURL、Chatwork設定など）</t>
        </is>
      </c>
    </row>
    <row r="13" ht="22" customHeight="1" s="31">
      <c r="B13" s="33" t="inlineStr">
        <is>
          <t>🟢 緑セル</t>
        </is>
      </c>
      <c r="C13" s="34" t="inlineStr">
        <is>
          <t>今回私が追加した列／行（既存データを触らず追加）</t>
        </is>
      </c>
    </row>
    <row r="14" ht="22" customHeight="1" s="31">
      <c r="B14" s="33" t="inlineStr">
        <is>
          <t>🩶 灰色セル</t>
        </is>
      </c>
      <c r="C14" s="34" t="inlineStr">
        <is>
          <t>自動計算・参照専用（触らない）</t>
        </is>
      </c>
    </row>
    <row r="15" ht="22" customHeight="1" s="31">
      <c r="B15" s="33" t="inlineStr">
        <is>
          <t>⬜ 白セル</t>
        </is>
      </c>
      <c r="C15" s="34" t="inlineStr">
        <is>
          <t>既存のデータ（あなたが元々埋めていた場所）</t>
        </is>
      </c>
    </row>
    <row r="16" ht="22" customHeight="1" s="31">
      <c r="B16" s="33" t="inlineStr"/>
      <c r="C16" s="34" t="inlineStr"/>
    </row>
    <row r="17" ht="22" customHeight="1" s="31">
      <c r="B17" s="33" t="inlineStr">
        <is>
          <t>最初にやること</t>
        </is>
      </c>
      <c r="C17" s="34" t="inlineStr"/>
    </row>
    <row r="18" ht="70" customHeight="1" s="31">
      <c r="B18" s="33" t="inlineStr">
        <is>
          <t>① 基本設定 の🟡を埋める</t>
        </is>
      </c>
      <c r="C18" s="34" t="inlineStr">
        <is>
          <t>・グルコン共通ZoomURL＋ミーティングID（若菜先生のグルコン専用リンク）
・キャッチアップマンデー共通ZoomURL＋ID（若菜先生のマンデー専用リンク）
・グルコン／ビギナー／課題作業会 事前フォームURL（3本）
・Chatwork APIトークン＋ルームID＋メンション先
・送信元アドレス</t>
        </is>
      </c>
    </row>
    <row r="19" ht="70" customHeight="1" s="31">
      <c r="B19" s="33" t="inlineStr">
        <is>
          <t>② タスク管理 のZoomソース列（🟢）を確認</t>
        </is>
      </c>
      <c r="C19" s="34" t="inlineStr">
        <is>
          <t>自動で設定済み。以下ルールで自動判定しています：
・グルコン → 「若菜グルコン共通」
・キャッチアップマンデー → 「若菜マンデー共通」
・キャッチアップウェンズデー／サポート講師ビギナーグルコン → 「未定（サポート講師待ち）」
・オリエンテーション／課題作業会 → 「個別」（別途Zoomリンク列に直接入力）
・動画配信 → 「Zoomなし」</t>
        </is>
      </c>
    </row>
    <row r="20" ht="45" customHeight="1" s="31">
      <c r="B20" s="33" t="inlineStr">
        <is>
          <t>③ メールテンプレート を読んで直したい部分だけ調整</t>
        </is>
      </c>
      <c r="C20" s="34" t="inlineStr">
        <is>
          <t>19期の実データを元に本文込みで埋めておきました。
文言を変えたい箇所があれば直してOK（既存のオリエンテーション3本はそのまま残しています）。</t>
        </is>
      </c>
    </row>
    <row r="21" ht="22" customHeight="1" s="31">
      <c r="B21" s="33" t="inlineStr"/>
      <c r="C21" s="34" t="inlineStr"/>
    </row>
    <row r="22" ht="45" customHeight="1" s="31">
      <c r="B22" s="33" t="inlineStr">
        <is>
          <t>Step 2（次回）</t>
        </is>
      </c>
      <c r="C22" s="34" t="inlineStr">
        <is>
          <t>このファイルがGoogleスプレッドシートにアップロードされ、内容が確認できたら、
GASコードを書きます。まずはグルコン系（一番数が多い）だけで動かして、動作確認後に他を追加。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2"/>
  <sheetViews>
    <sheetView workbookViewId="0">
      <selection activeCell="A1" sqref="A1"/>
    </sheetView>
  </sheetViews>
  <sheetFormatPr baseColWidth="8" defaultColWidth="12.63" defaultRowHeight="15.75" customHeight="1"/>
  <cols>
    <col width="32" customWidth="1" style="31" min="1" max="1"/>
    <col width="70" customWidth="1" style="31" min="2" max="2"/>
    <col width="30" customWidth="1" style="31" min="3" max="3"/>
  </cols>
  <sheetData>
    <row r="1">
      <c r="A1" s="1" t="inlineStr">
        <is>
          <t>項目</t>
        </is>
      </c>
      <c r="B1" s="1" t="inlineStr">
        <is>
          <t>設定値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12" t="inlineStr">
        <is>
          <t>期</t>
        </is>
      </c>
      <c r="B2" s="14" t="inlineStr">
        <is>
          <t>20期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12" t="inlineStr">
        <is>
          <t>会員サイト</t>
        </is>
      </c>
      <c r="B3" s="14" t="inlineStr">
        <is>
          <t>【会員サイト】
こちらからログイン＞＞
https://hotmart.com/en/club/shinealight-xpvyol/products/2188687
会員サイトのアクセス方法（スマホ版）
https://vimeo.com/1196532375/9eb026c49b?share=copy&amp;fl=sv&amp;fe=ci
会員サイトのアクセス方法　（パソコン版）
https://vimeo.com/1196532358/66a42376ec?share=copy&amp;fl=sv&amp;fe=ci</t>
        </is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12" t="n"/>
      <c r="B4" s="18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12" t="inlineStr">
        <is>
          <t>第1回目動画配信日</t>
        </is>
      </c>
      <c r="B5" s="18">
        <f t="array" ref="B5">TEXT(XLOOKUP("第1回 動画配信", 'タスク管理'!$A$2:$A$29, 'タスク管理'!$B$2:$B$29), "m月d日(aaa)")</f>
        <v/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2" t="inlineStr">
        <is>
          <t>第1回動画配信3日後</t>
        </is>
      </c>
      <c r="B6" s="3">
        <f t="array" ref="B6">TEXT(XLOOKUP("第1回 動画配信", 'タスク管理'!$A$2:$A$29, 'タスク管理'!$B$2:$B$29) + 3, "m月d日(aaa)")</f>
        <v/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5" t="inlineStr">
        <is>
          <t>── Zoomリンク・プール（共通Zoom用）──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6" t="inlineStr">
        <is>
          <t>グルコン共通ZoomURL</t>
        </is>
      </c>
      <c r="B9" s="37" t="inlineStr">
        <is>
          <t>https://us02web.zoom.us/j/83540214061</t>
        </is>
      </c>
      <c r="C9" s="38" t="inlineStr">
        <is>
          <t>🟡 若菜先生グルコン全回で使う1本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6" t="inlineStr">
        <is>
          <t>グルコン共通ミーティングID</t>
        </is>
      </c>
      <c r="B10" s="37" t="inlineStr">
        <is>
          <t>835 4021 4061</t>
        </is>
      </c>
      <c r="C10" s="38" t="inlineStr">
        <is>
          <t>🟡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6" t="inlineStr">
        <is>
          <t>キャッチアップマンデー共通ZoomURL</t>
        </is>
      </c>
      <c r="B11" s="37" t="inlineStr">
        <is>
          <t>https://us02web.zoom.us/j/84912148179</t>
        </is>
      </c>
      <c r="C11" s="38" t="inlineStr">
        <is>
          <t>🟡 若菜先生マンデー全回で使う1本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6" t="inlineStr">
        <is>
          <t>キャッチアップマンデー共通ミーティングID</t>
        </is>
      </c>
      <c r="B12" s="37" t="inlineStr">
        <is>
          <t>849 1214 8179</t>
        </is>
      </c>
      <c r="C12" s="38" t="inlineStr">
        <is>
          <t>🟡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6" t="inlineStr">
        <is>
          <t>オリエンテーションZoomURL</t>
        </is>
      </c>
      <c r="B13" s="37" t="inlineStr">
        <is>
          <t>https://us02web.zoom.us/j/82603439180</t>
        </is>
      </c>
      <c r="C13" s="38" t="inlineStr">
        <is>
          <t>既存テンプレから移設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6" t="inlineStr">
        <is>
          <t>オリエンテーションミーティングID</t>
        </is>
      </c>
      <c r="B14" s="37" t="inlineStr">
        <is>
          <t>826 0343 9180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5" t="inlineStr">
        <is>
          <t>── 事前フォームURL ──</t>
        </is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6" t="inlineStr">
        <is>
          <t>グルコン事前フォームURL</t>
        </is>
      </c>
      <c r="B16" s="37" t="inlineStr"/>
      <c r="C16" s="38" t="inlineStr">
        <is>
          <t>🟡 若菜グルコン用アンケート</t>
        </is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6" t="inlineStr">
        <is>
          <t>ビギナーグルコン事前フォームURL</t>
        </is>
      </c>
      <c r="B17" s="37" t="inlineStr"/>
      <c r="C17" s="38" t="inlineStr">
        <is>
          <t>🟡 サポート講師ビギナーグルコン用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6" t="inlineStr">
        <is>
          <t>課題作業会事前フォームURL</t>
        </is>
      </c>
      <c r="B18" s="37" t="inlineStr"/>
      <c r="C18" s="38" t="inlineStr">
        <is>
          <t>🟡</t>
        </is>
      </c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5" t="inlineStr">
        <is>
          <t>── Chatwork設定 ──</t>
        </is>
      </c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6" t="inlineStr">
        <is>
          <t>Chatwork APIトークン</t>
        </is>
      </c>
      <c r="B20" s="37" t="inlineStr"/>
      <c r="C20" s="38" t="inlineStr">
        <is>
          <t>🟡 Chatwork設定＞API から取得</t>
        </is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>
      <c r="A21" s="36" t="inlineStr">
        <is>
          <t>Chatwork ルームID(事務局)</t>
        </is>
      </c>
      <c r="B21" s="37" t="inlineStr"/>
      <c r="C21" s="38" t="inlineStr">
        <is>
          <t>🟡 通知投稿先ルームのID</t>
        </is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>
      <c r="A22" s="36" t="inlineStr">
        <is>
          <t>Chatwork メンション先</t>
        </is>
      </c>
      <c r="B22" s="37" t="inlineStr"/>
      <c r="C22" s="38" t="inlineStr">
        <is>
          <t>🟡 例：[To:1234567] みあさん</t>
        </is>
      </c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>
      <c r="A23" s="35" t="inlineStr">
        <is>
          <t>── 差出人・署名 ──</t>
        </is>
      </c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>
      <c r="A24" s="36" t="inlineStr">
        <is>
          <t>事務局差出人名</t>
        </is>
      </c>
      <c r="B24" s="37" t="inlineStr">
        <is>
          <t>Shine A Light 運営事務局</t>
        </is>
      </c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>
      <c r="A25" s="36" t="inlineStr">
        <is>
          <t>事務局アドレス</t>
        </is>
      </c>
      <c r="B25" s="37" t="inlineStr"/>
      <c r="C25" s="38" t="inlineStr">
        <is>
          <t>🟡 実際の送信元アドレス</t>
        </is>
      </c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>
      <c r="A26" s="36" t="inlineStr">
        <is>
          <t>共通署名(本文末尾)</t>
        </is>
      </c>
      <c r="B26" s="37" t="inlineStr">
        <is>
          <t>---
Shine A Light 運営事務局
Mail: your-office@example.com</t>
        </is>
      </c>
      <c r="C26" s="38" t="inlineStr">
        <is>
          <t>🟡 実運用に合わせて調整</t>
        </is>
      </c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>
      <c r="A27" s="35" t="inlineStr">
        <is>
          <t>── GAS実行時刻 ──</t>
        </is>
      </c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>
      <c r="A28" s="36" t="inlineStr">
        <is>
          <t>下書き作成時刻</t>
        </is>
      </c>
      <c r="B28" s="37" t="inlineStr">
        <is>
          <t>07:00</t>
        </is>
      </c>
      <c r="C28" s="38" t="inlineStr">
        <is>
          <t>毎朝この時刻にGASが動く</t>
        </is>
      </c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  <row r="1001">
      <c r="A1001" s="3" t="n"/>
      <c r="B1001" s="3" t="n"/>
      <c r="C1001" s="3" t="n"/>
      <c r="D1001" s="3" t="n"/>
      <c r="E1001" s="3" t="n"/>
      <c r="F1001" s="3" t="n"/>
      <c r="G1001" s="3" t="n"/>
      <c r="H1001" s="3" t="n"/>
      <c r="I1001" s="3" t="n"/>
      <c r="J1001" s="3" t="n"/>
      <c r="K1001" s="3" t="n"/>
      <c r="L1001" s="3" t="n"/>
      <c r="M1001" s="3" t="n"/>
      <c r="N1001" s="3" t="n"/>
      <c r="O1001" s="3" t="n"/>
      <c r="P1001" s="3" t="n"/>
      <c r="Q1001" s="3" t="n"/>
      <c r="R1001" s="3" t="n"/>
      <c r="S1001" s="3" t="n"/>
      <c r="T1001" s="3" t="n"/>
      <c r="U1001" s="3" t="n"/>
      <c r="V1001" s="3" t="n"/>
      <c r="W1001" s="3" t="n"/>
      <c r="X1001" s="3" t="n"/>
      <c r="Y1001" s="3" t="n"/>
      <c r="Z1001" s="3" t="n"/>
    </row>
    <row r="1002">
      <c r="A1002" s="3" t="n"/>
      <c r="B1002" s="3" t="n"/>
      <c r="C1002" s="3" t="n"/>
      <c r="D1002" s="3" t="n"/>
      <c r="E1002" s="3" t="n"/>
      <c r="F1002" s="3" t="n"/>
      <c r="G1002" s="3" t="n"/>
      <c r="H1002" s="3" t="n"/>
      <c r="I1002" s="3" t="n"/>
      <c r="J1002" s="3" t="n"/>
      <c r="K1002" s="3" t="n"/>
      <c r="L1002" s="3" t="n"/>
      <c r="M1002" s="3" t="n"/>
      <c r="N1002" s="3" t="n"/>
      <c r="O1002" s="3" t="n"/>
      <c r="P1002" s="3" t="n"/>
      <c r="Q1002" s="3" t="n"/>
      <c r="R1002" s="3" t="n"/>
      <c r="S1002" s="3" t="n"/>
      <c r="T1002" s="3" t="n"/>
      <c r="U1002" s="3" t="n"/>
      <c r="V1002" s="3" t="n"/>
      <c r="W1002" s="3" t="n"/>
      <c r="X1002" s="3" t="n"/>
      <c r="Y1002" s="3" t="n"/>
      <c r="Z1002" s="3" t="n"/>
    </row>
  </sheetData>
  <mergeCells count="5">
    <mergeCell ref="A19:C19"/>
    <mergeCell ref="A23:C23"/>
    <mergeCell ref="A8:C8"/>
    <mergeCell ref="A27:C27"/>
    <mergeCell ref="A15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2.63" defaultRowHeight="15.75" customHeight="1"/>
  <cols>
    <col width="30.38" customWidth="1" style="31" min="1" max="1"/>
    <col width="24.75" customWidth="1" style="31" min="11" max="11"/>
    <col width="10" customWidth="1" style="31" min="12" max="12"/>
    <col width="22" customWidth="1" style="31" min="13" max="13"/>
    <col width="40" customWidth="1" style="31" min="14" max="14"/>
    <col width="18" customWidth="1" style="31" min="15" max="15"/>
    <col width="40" customWidth="1" style="31" min="16" max="16"/>
    <col width="12" customWidth="1" style="31" min="17" max="17"/>
  </cols>
  <sheetData>
    <row r="1">
      <c r="A1" s="2" t="inlineStr">
        <is>
          <t>内容</t>
        </is>
      </c>
      <c r="B1" s="4" t="inlineStr">
        <is>
          <t>日程</t>
        </is>
      </c>
      <c r="C1" s="2" t="inlineStr">
        <is>
          <t>時間</t>
        </is>
      </c>
      <c r="D1" s="2" t="inlineStr">
        <is>
          <t>担当者</t>
        </is>
      </c>
      <c r="E1" s="5" t="inlineStr">
        <is>
          <t>メールセット</t>
        </is>
      </c>
      <c r="F1" s="6" t="inlineStr">
        <is>
          <t>メール3日前</t>
        </is>
      </c>
      <c r="G1" s="6" t="inlineStr">
        <is>
          <t>メール前日</t>
        </is>
      </c>
      <c r="H1" s="6" t="inlineStr">
        <is>
          <t>質問まとめ</t>
        </is>
      </c>
      <c r="I1" s="6" t="inlineStr">
        <is>
          <t>メール当日</t>
        </is>
      </c>
      <c r="J1" s="6" t="inlineStr">
        <is>
          <t>アーカイブ送付</t>
        </is>
      </c>
      <c r="K1" s="9" t="inlineStr">
        <is>
          <t>会員サイト（アーカイブ用）</t>
        </is>
      </c>
      <c r="L1" s="39" t="inlineStr">
        <is>
          <t>ID</t>
        </is>
      </c>
      <c r="M1" s="39" t="inlineStr">
        <is>
          <t>Zoomソース</t>
        </is>
      </c>
      <c r="N1" s="39" t="inlineStr">
        <is>
          <t>Zoomリンク</t>
        </is>
      </c>
      <c r="O1" s="39" t="inlineStr">
        <is>
          <t>ミーティングID</t>
        </is>
      </c>
      <c r="P1" s="39" t="inlineStr">
        <is>
          <t>事前フォームURL</t>
        </is>
      </c>
      <c r="Q1" s="39" t="inlineStr">
        <is>
          <t>ステータス</t>
        </is>
      </c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>
      <c r="A2" s="26" t="inlineStr">
        <is>
          <t>オリエンテーション</t>
        </is>
      </c>
      <c r="B2" s="15" t="n">
        <v>46183</v>
      </c>
      <c r="C2" s="16" t="inlineStr">
        <is>
          <t>21:00〜22:00</t>
        </is>
      </c>
      <c r="D2" s="16" t="inlineStr">
        <is>
          <t>若菜先生</t>
        </is>
      </c>
      <c r="E2" s="20">
        <f>G2-3</f>
        <v/>
      </c>
      <c r="F2" s="21" t="inlineStr">
        <is>
          <t>-</t>
        </is>
      </c>
      <c r="G2" s="23">
        <f>B2-1</f>
        <v/>
      </c>
      <c r="H2" s="24" t="inlineStr">
        <is>
          <t>-</t>
        </is>
      </c>
      <c r="I2" s="23">
        <f>B2</f>
        <v/>
      </c>
      <c r="J2" s="20">
        <f>IF(TIMEVALUE(LEFT(C2, FIND("〜", C2&amp;"〜")-1)) &gt; TIME(13, 0, 0), B2+1, B2)</f>
        <v/>
      </c>
      <c r="K2" s="10" t="n"/>
      <c r="L2" s="40" t="inlineStr">
        <is>
          <t>E001</t>
        </is>
      </c>
      <c r="M2" s="37" t="inlineStr">
        <is>
          <t>個別</t>
        </is>
      </c>
      <c r="N2" s="41" t="inlineStr">
        <is>
          <t>https://us02web.zoom.us/j/82603439180</t>
        </is>
      </c>
      <c r="O2" s="41" t="inlineStr">
        <is>
          <t>826 0343 9180</t>
        </is>
      </c>
      <c r="P2" s="37" t="inlineStr"/>
      <c r="Q2" s="41" t="inlineStr">
        <is>
          <t>未実施</t>
        </is>
      </c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>
      <c r="A3" s="26" t="inlineStr">
        <is>
          <t>第1回 動画配信</t>
        </is>
      </c>
      <c r="B3" s="15" t="n">
        <v>46188</v>
      </c>
      <c r="C3" s="28" t="n">
        <v>0.2916666666666667</v>
      </c>
      <c r="D3" s="16" t="inlineStr">
        <is>
          <t>メールのみ</t>
        </is>
      </c>
      <c r="E3" s="29">
        <f>I3-3</f>
        <v/>
      </c>
      <c r="F3" s="21" t="inlineStr">
        <is>
          <t>-</t>
        </is>
      </c>
      <c r="G3" s="21" t="inlineStr">
        <is>
          <t>-</t>
        </is>
      </c>
      <c r="H3" s="24" t="inlineStr">
        <is>
          <t>-</t>
        </is>
      </c>
      <c r="I3" s="23">
        <f>B3</f>
        <v/>
      </c>
      <c r="J3" s="24" t="inlineStr">
        <is>
          <t>-</t>
        </is>
      </c>
      <c r="K3" s="10" t="n"/>
      <c r="L3" s="40" t="inlineStr">
        <is>
          <t>E002</t>
        </is>
      </c>
      <c r="M3" s="37" t="inlineStr">
        <is>
          <t>Zoomなし</t>
        </is>
      </c>
      <c r="N3" s="41" t="n"/>
      <c r="O3" s="41" t="n"/>
      <c r="P3" s="37" t="inlineStr"/>
      <c r="Q3" s="41" t="inlineStr">
        <is>
          <t>未実施</t>
        </is>
      </c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</row>
    <row r="4">
      <c r="A4" s="26" t="inlineStr">
        <is>
          <t>キャッチアップウェンズデー</t>
        </is>
      </c>
      <c r="B4" s="15" t="n">
        <v>46190</v>
      </c>
      <c r="C4" s="16" t="inlineStr">
        <is>
          <t>9:30〜11:00</t>
        </is>
      </c>
      <c r="D4" s="16" t="inlineStr">
        <is>
          <t>神保麻紀先生</t>
        </is>
      </c>
      <c r="E4" s="20">
        <f>G4-2</f>
        <v/>
      </c>
      <c r="F4" s="21" t="inlineStr">
        <is>
          <t>-</t>
        </is>
      </c>
      <c r="G4" s="23">
        <f>B4-1</f>
        <v/>
      </c>
      <c r="H4" s="24" t="inlineStr">
        <is>
          <t>-</t>
        </is>
      </c>
      <c r="I4" s="23">
        <f>B4</f>
        <v/>
      </c>
      <c r="J4" s="20">
        <f>IF(TIMEVALUE(LEFT(C4, FIND("〜", C4&amp;"〜")-1)) &gt; TIME(13, 0, 0), B4+1, B4)</f>
        <v/>
      </c>
      <c r="K4" s="10" t="n"/>
      <c r="L4" s="40" t="inlineStr">
        <is>
          <t>E003</t>
        </is>
      </c>
      <c r="M4" s="37" t="inlineStr">
        <is>
          <t>未定(サポート講師待ち)</t>
        </is>
      </c>
      <c r="N4" s="41" t="n"/>
      <c r="O4" s="41" t="n"/>
      <c r="P4" s="37" t="inlineStr"/>
      <c r="Q4" s="41" t="inlineStr">
        <is>
          <t>未実施</t>
        </is>
      </c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</row>
    <row r="5">
      <c r="A5" s="26" t="inlineStr">
        <is>
          <t>サポート講師ビギナーグルコン</t>
        </is>
      </c>
      <c r="B5" s="15" t="n">
        <v>46192</v>
      </c>
      <c r="C5" s="16" t="inlineStr">
        <is>
          <t>21:00〜22:00</t>
        </is>
      </c>
      <c r="D5" s="16" t="inlineStr">
        <is>
          <t>田中恵美子先生</t>
        </is>
      </c>
      <c r="E5" s="20">
        <f>F5-2</f>
        <v/>
      </c>
      <c r="F5" s="23">
        <f>B5-3</f>
        <v/>
      </c>
      <c r="G5" s="23">
        <f>B5-1</f>
        <v/>
      </c>
      <c r="H5" s="20">
        <f>G5</f>
        <v/>
      </c>
      <c r="I5" s="23">
        <f>B5</f>
        <v/>
      </c>
      <c r="J5" s="20">
        <f>IF(TIMEVALUE(LEFT(C5, FIND("〜", C5&amp;"〜")-1)) &gt; TIME(13, 0, 0), B5+1, B5)</f>
        <v/>
      </c>
      <c r="K5" s="10" t="n"/>
      <c r="L5" s="40" t="inlineStr">
        <is>
          <t>E004</t>
        </is>
      </c>
      <c r="M5" s="37" t="inlineStr">
        <is>
          <t>未定(サポート講師待ち)</t>
        </is>
      </c>
      <c r="N5" s="41" t="n"/>
      <c r="O5" s="41" t="n"/>
      <c r="P5" s="37">
        <f>{{ビギナーグルコン事前フォームURL}}</f>
        <v/>
      </c>
      <c r="Q5" s="41" t="inlineStr">
        <is>
          <t>未実施</t>
        </is>
      </c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</row>
    <row r="6">
      <c r="A6" s="26" t="inlineStr">
        <is>
          <t>キャッチアップマンデー</t>
        </is>
      </c>
      <c r="B6" s="15" t="n">
        <v>46195</v>
      </c>
      <c r="C6" s="16" t="inlineStr">
        <is>
          <t>10:30〜12:00</t>
        </is>
      </c>
      <c r="D6" s="16" t="inlineStr">
        <is>
          <t>若菜先生</t>
        </is>
      </c>
      <c r="E6" s="20">
        <f>G6-3</f>
        <v/>
      </c>
      <c r="F6" s="21" t="inlineStr">
        <is>
          <t>-</t>
        </is>
      </c>
      <c r="G6" s="23">
        <f>B6-1</f>
        <v/>
      </c>
      <c r="H6" s="24" t="inlineStr">
        <is>
          <t>-</t>
        </is>
      </c>
      <c r="I6" s="23">
        <f>B6</f>
        <v/>
      </c>
      <c r="J6" s="20">
        <f>IF(TIMEVALUE(LEFT(C6, FIND("〜", C6&amp;"〜")-1)) &gt; TIME(13, 0, 0), B6+1, B6)</f>
        <v/>
      </c>
      <c r="K6" s="10" t="n"/>
      <c r="L6" s="40" t="inlineStr">
        <is>
          <t>E005</t>
        </is>
      </c>
      <c r="M6" s="37" t="inlineStr">
        <is>
          <t>若菜マンデー共通</t>
        </is>
      </c>
      <c r="N6" s="41" t="n"/>
      <c r="O6" s="41" t="n"/>
      <c r="P6" s="37" t="inlineStr"/>
      <c r="Q6" s="41" t="inlineStr">
        <is>
          <t>未実施</t>
        </is>
      </c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</row>
    <row r="7">
      <c r="A7" s="26" t="inlineStr">
        <is>
          <t>グルコン</t>
        </is>
      </c>
      <c r="B7" s="15" t="n">
        <v>46198</v>
      </c>
      <c r="C7" s="16" t="inlineStr">
        <is>
          <t>10:00〜11:00</t>
        </is>
      </c>
      <c r="D7" s="16" t="inlineStr">
        <is>
          <t>若菜先生</t>
        </is>
      </c>
      <c r="E7" s="20">
        <f>F7-3</f>
        <v/>
      </c>
      <c r="F7" s="23">
        <f>B7-3</f>
        <v/>
      </c>
      <c r="G7" s="23">
        <f>B7-1</f>
        <v/>
      </c>
      <c r="H7" s="20">
        <f>G7</f>
        <v/>
      </c>
      <c r="I7" s="23">
        <f>B7</f>
        <v/>
      </c>
      <c r="J7" s="20">
        <f>IF(TIMEVALUE(LEFT(C7, FIND("〜", C7&amp;"〜")-1)) &gt; TIME(13, 0, 0), B7+1, B7)</f>
        <v/>
      </c>
      <c r="K7" s="10" t="n"/>
      <c r="L7" s="40" t="inlineStr">
        <is>
          <t>E006</t>
        </is>
      </c>
      <c r="M7" s="37" t="inlineStr">
        <is>
          <t>若菜グルコン共通</t>
        </is>
      </c>
      <c r="N7" s="41" t="n"/>
      <c r="O7" s="41" t="n"/>
      <c r="P7" s="37">
        <f>{{グルコン事前フォームURL}}</f>
        <v/>
      </c>
      <c r="Q7" s="41" t="inlineStr">
        <is>
          <t>未実施</t>
        </is>
      </c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</row>
    <row r="8">
      <c r="A8" s="26" t="inlineStr">
        <is>
          <t>第2回 動画配信</t>
        </is>
      </c>
      <c r="B8" s="15" t="n">
        <v>46202</v>
      </c>
      <c r="C8" s="28" t="n">
        <v>0.2916666666666667</v>
      </c>
      <c r="D8" s="16" t="inlineStr">
        <is>
          <t>メールのみ</t>
        </is>
      </c>
      <c r="E8" s="29">
        <f>I8-3</f>
        <v/>
      </c>
      <c r="F8" s="21" t="inlineStr">
        <is>
          <t>-</t>
        </is>
      </c>
      <c r="G8" s="21" t="inlineStr">
        <is>
          <t>-</t>
        </is>
      </c>
      <c r="H8" s="24" t="inlineStr">
        <is>
          <t>-</t>
        </is>
      </c>
      <c r="I8" s="23">
        <f>B8</f>
        <v/>
      </c>
      <c r="J8" s="24" t="inlineStr">
        <is>
          <t>-</t>
        </is>
      </c>
      <c r="K8" s="10" t="n"/>
      <c r="L8" s="40" t="inlineStr">
        <is>
          <t>E007</t>
        </is>
      </c>
      <c r="M8" s="37" t="inlineStr">
        <is>
          <t>Zoomなし</t>
        </is>
      </c>
      <c r="N8" s="41" t="n"/>
      <c r="O8" s="41" t="n"/>
      <c r="P8" s="37" t="inlineStr"/>
      <c r="Q8" s="41" t="inlineStr">
        <is>
          <t>未実施</t>
        </is>
      </c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</row>
    <row r="9">
      <c r="A9" s="26" t="inlineStr">
        <is>
          <t>キャッチアップウェンズデー</t>
        </is>
      </c>
      <c r="B9" s="15" t="n">
        <v>46204</v>
      </c>
      <c r="C9" s="16" t="inlineStr">
        <is>
          <t>20:30〜22:00</t>
        </is>
      </c>
      <c r="D9" s="16" t="inlineStr">
        <is>
          <t>山知雅代先生</t>
        </is>
      </c>
      <c r="E9" s="20">
        <f>G9-2</f>
        <v/>
      </c>
      <c r="F9" s="21" t="inlineStr">
        <is>
          <t>-</t>
        </is>
      </c>
      <c r="G9" s="23">
        <f>B9-1</f>
        <v/>
      </c>
      <c r="H9" s="24" t="inlineStr">
        <is>
          <t>-</t>
        </is>
      </c>
      <c r="I9" s="23">
        <f>B9</f>
        <v/>
      </c>
      <c r="J9" s="20">
        <f>IF(TIMEVALUE(LEFT(C9, FIND("〜", C9&amp;"〜")-1)) &gt; TIME(13, 0, 0), B9+1, B9)</f>
        <v/>
      </c>
      <c r="K9" s="10" t="n"/>
      <c r="L9" s="40" t="inlineStr">
        <is>
          <t>E008</t>
        </is>
      </c>
      <c r="M9" s="37" t="inlineStr">
        <is>
          <t>未定(サポート講師待ち)</t>
        </is>
      </c>
      <c r="N9" s="41" t="n"/>
      <c r="O9" s="41" t="n"/>
      <c r="P9" s="37" t="inlineStr"/>
      <c r="Q9" s="41" t="inlineStr">
        <is>
          <t>未実施</t>
        </is>
      </c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</row>
    <row r="10">
      <c r="A10" s="26" t="inlineStr">
        <is>
          <t>キャッチアップマンデー</t>
        </is>
      </c>
      <c r="B10" s="15" t="n">
        <v>46209</v>
      </c>
      <c r="C10" s="16" t="inlineStr">
        <is>
          <t>10:30〜12:00</t>
        </is>
      </c>
      <c r="D10" s="16" t="inlineStr">
        <is>
          <t>若菜先生</t>
        </is>
      </c>
      <c r="E10" s="20">
        <f>G10-3</f>
        <v/>
      </c>
      <c r="F10" s="21" t="inlineStr">
        <is>
          <t>-</t>
        </is>
      </c>
      <c r="G10" s="23">
        <f>B10-1</f>
        <v/>
      </c>
      <c r="H10" s="24" t="inlineStr">
        <is>
          <t>-</t>
        </is>
      </c>
      <c r="I10" s="23">
        <f>B10</f>
        <v/>
      </c>
      <c r="J10" s="20">
        <f>IF(TIMEVALUE(LEFT(C10, FIND("〜", C10&amp;"〜")-1)) &gt; TIME(13, 0, 0), B10+1, B10)</f>
        <v/>
      </c>
      <c r="K10" s="10" t="n"/>
      <c r="L10" s="40" t="inlineStr">
        <is>
          <t>E009</t>
        </is>
      </c>
      <c r="M10" s="37" t="inlineStr">
        <is>
          <t>若菜マンデー共通</t>
        </is>
      </c>
      <c r="N10" s="41" t="n"/>
      <c r="O10" s="41" t="n"/>
      <c r="P10" s="37" t="inlineStr"/>
      <c r="Q10" s="41" t="inlineStr">
        <is>
          <t>未実施</t>
        </is>
      </c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</row>
    <row r="11">
      <c r="A11" s="26" t="inlineStr">
        <is>
          <t>グルコン</t>
        </is>
      </c>
      <c r="B11" s="15" t="n">
        <v>46212</v>
      </c>
      <c r="C11" s="16" t="inlineStr">
        <is>
          <t>10:00〜11:00</t>
        </is>
      </c>
      <c r="D11" s="16" t="inlineStr">
        <is>
          <t>若菜先生</t>
        </is>
      </c>
      <c r="E11" s="20">
        <f>F11-3</f>
        <v/>
      </c>
      <c r="F11" s="23">
        <f>B11-3</f>
        <v/>
      </c>
      <c r="G11" s="23">
        <f>B11-1</f>
        <v/>
      </c>
      <c r="H11" s="20">
        <f>G11</f>
        <v/>
      </c>
      <c r="I11" s="23">
        <f>B11</f>
        <v/>
      </c>
      <c r="J11" s="20">
        <f>IF(TIMEVALUE(LEFT(C11, FIND("〜", C11&amp;"〜")-1)) &gt; TIME(13, 0, 0), B11+1, B11)</f>
        <v/>
      </c>
      <c r="K11" s="10" t="n"/>
      <c r="L11" s="40" t="inlineStr">
        <is>
          <t>E010</t>
        </is>
      </c>
      <c r="M11" s="37" t="inlineStr">
        <is>
          <t>若菜グルコン共通</t>
        </is>
      </c>
      <c r="N11" s="41" t="n"/>
      <c r="O11" s="41" t="n"/>
      <c r="P11" s="37">
        <f>{{グルコン事前フォームURL}}</f>
        <v/>
      </c>
      <c r="Q11" s="41" t="inlineStr">
        <is>
          <t>未実施</t>
        </is>
      </c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</row>
    <row r="12">
      <c r="A12" s="26" t="inlineStr">
        <is>
          <t>第3回 動画配信</t>
        </is>
      </c>
      <c r="B12" s="15" t="n">
        <v>46216</v>
      </c>
      <c r="C12" s="28" t="n">
        <v>0.2916666666666667</v>
      </c>
      <c r="D12" s="16" t="inlineStr">
        <is>
          <t>メールのみ</t>
        </is>
      </c>
      <c r="E12" s="29">
        <f>I12-3</f>
        <v/>
      </c>
      <c r="F12" s="21" t="inlineStr">
        <is>
          <t>-</t>
        </is>
      </c>
      <c r="G12" s="21" t="inlineStr">
        <is>
          <t>-</t>
        </is>
      </c>
      <c r="H12" s="24" t="inlineStr">
        <is>
          <t>-</t>
        </is>
      </c>
      <c r="I12" s="23">
        <f>B12</f>
        <v/>
      </c>
      <c r="J12" s="24" t="inlineStr">
        <is>
          <t>-</t>
        </is>
      </c>
      <c r="K12" s="10" t="n"/>
      <c r="L12" s="40" t="inlineStr">
        <is>
          <t>E011</t>
        </is>
      </c>
      <c r="M12" s="37" t="inlineStr">
        <is>
          <t>Zoomなし</t>
        </is>
      </c>
      <c r="N12" s="41" t="n"/>
      <c r="O12" s="41" t="n"/>
      <c r="P12" s="37" t="inlineStr"/>
      <c r="Q12" s="41" t="inlineStr">
        <is>
          <t>未実施</t>
        </is>
      </c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</row>
    <row r="13">
      <c r="A13" s="26" t="inlineStr">
        <is>
          <t>キャッチアップウェンズデー</t>
        </is>
      </c>
      <c r="B13" s="15" t="n">
        <v>46218</v>
      </c>
      <c r="C13" s="16" t="inlineStr">
        <is>
          <t>9:30〜11:00</t>
        </is>
      </c>
      <c r="D13" s="16" t="inlineStr">
        <is>
          <t>北島理恵先生</t>
        </is>
      </c>
      <c r="E13" s="20">
        <f>G13-2</f>
        <v/>
      </c>
      <c r="F13" s="21" t="inlineStr">
        <is>
          <t>-</t>
        </is>
      </c>
      <c r="G13" s="23">
        <f>B13-1</f>
        <v/>
      </c>
      <c r="H13" s="24" t="inlineStr">
        <is>
          <t>-</t>
        </is>
      </c>
      <c r="I13" s="23">
        <f>B13</f>
        <v/>
      </c>
      <c r="J13" s="20">
        <f>IF(TIMEVALUE(LEFT(C13, FIND("〜", C13&amp;"〜")-1)) &gt; TIME(13, 0, 0), B13+1, B13)</f>
        <v/>
      </c>
      <c r="K13" s="10" t="n"/>
      <c r="L13" s="40" t="inlineStr">
        <is>
          <t>E012</t>
        </is>
      </c>
      <c r="M13" s="37" t="inlineStr">
        <is>
          <t>未定(サポート講師待ち)</t>
        </is>
      </c>
      <c r="N13" s="41" t="n"/>
      <c r="O13" s="41" t="n"/>
      <c r="P13" s="37" t="inlineStr"/>
      <c r="Q13" s="41" t="inlineStr">
        <is>
          <t>未実施</t>
        </is>
      </c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</row>
    <row r="14">
      <c r="A14" s="26" t="inlineStr">
        <is>
          <t>サポート講師ビギナーグルコン</t>
        </is>
      </c>
      <c r="B14" s="15" t="n">
        <v>46220</v>
      </c>
      <c r="C14" s="16" t="inlineStr">
        <is>
          <t>21:00〜22:00</t>
        </is>
      </c>
      <c r="D14" s="16" t="inlineStr">
        <is>
          <t>富田紫先生</t>
        </is>
      </c>
      <c r="E14" s="20">
        <f>F14-2</f>
        <v/>
      </c>
      <c r="F14" s="23">
        <f>B14-3</f>
        <v/>
      </c>
      <c r="G14" s="23">
        <f>B14-1</f>
        <v/>
      </c>
      <c r="H14" s="20">
        <f>G14</f>
        <v/>
      </c>
      <c r="I14" s="23">
        <f>B14</f>
        <v/>
      </c>
      <c r="J14" s="20">
        <f>IF(TIMEVALUE(LEFT(C14, FIND("〜", C14&amp;"〜")-1)) &gt; TIME(13, 0, 0), B14+1, B14)</f>
        <v/>
      </c>
      <c r="K14" s="10" t="n"/>
      <c r="L14" s="40" t="inlineStr">
        <is>
          <t>E013</t>
        </is>
      </c>
      <c r="M14" s="37" t="inlineStr">
        <is>
          <t>未定(サポート講師待ち)</t>
        </is>
      </c>
      <c r="N14" s="41" t="n"/>
      <c r="O14" s="41" t="n"/>
      <c r="P14" s="37">
        <f>{{ビギナーグルコン事前フォームURL}}</f>
        <v/>
      </c>
      <c r="Q14" s="41" t="inlineStr">
        <is>
          <t>未実施</t>
        </is>
      </c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</row>
    <row r="15">
      <c r="A15" s="26" t="inlineStr">
        <is>
          <t>キャッチアップマンデー</t>
        </is>
      </c>
      <c r="B15" s="15" t="n">
        <v>46224</v>
      </c>
      <c r="C15" s="16" t="inlineStr">
        <is>
          <t>20:30〜22:00</t>
        </is>
      </c>
      <c r="D15" s="16" t="inlineStr">
        <is>
          <t>若菜先生</t>
        </is>
      </c>
      <c r="E15" s="20">
        <f>G15-3</f>
        <v/>
      </c>
      <c r="F15" s="21" t="inlineStr">
        <is>
          <t>-</t>
        </is>
      </c>
      <c r="G15" s="23">
        <f>B15-1</f>
        <v/>
      </c>
      <c r="H15" s="24" t="inlineStr">
        <is>
          <t>-</t>
        </is>
      </c>
      <c r="I15" s="23">
        <f>B15</f>
        <v/>
      </c>
      <c r="J15" s="20">
        <f>IF(TIMEVALUE(LEFT(C15, FIND("〜", C15&amp;"〜")-1)) &gt; TIME(13, 0, 0), B15+1, B15)</f>
        <v/>
      </c>
      <c r="K15" s="10" t="n"/>
      <c r="L15" s="40" t="inlineStr">
        <is>
          <t>E014</t>
        </is>
      </c>
      <c r="M15" s="37" t="inlineStr">
        <is>
          <t>若菜マンデー共通</t>
        </is>
      </c>
      <c r="N15" s="41" t="n"/>
      <c r="O15" s="41" t="n"/>
      <c r="P15" s="37" t="inlineStr"/>
      <c r="Q15" s="41" t="inlineStr">
        <is>
          <t>未実施</t>
        </is>
      </c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</row>
    <row r="16">
      <c r="A16" s="26" t="inlineStr">
        <is>
          <t>グルコン</t>
        </is>
      </c>
      <c r="B16" s="15" t="n">
        <v>46227</v>
      </c>
      <c r="C16" s="16" t="inlineStr">
        <is>
          <t>21:00〜22:00</t>
        </is>
      </c>
      <c r="D16" s="16" t="inlineStr">
        <is>
          <t>若菜先生</t>
        </is>
      </c>
      <c r="E16" s="20">
        <f>F16-3</f>
        <v/>
      </c>
      <c r="F16" s="23">
        <f>B16-3</f>
        <v/>
      </c>
      <c r="G16" s="23">
        <f>B16-1</f>
        <v/>
      </c>
      <c r="H16" s="20">
        <f>G16</f>
        <v/>
      </c>
      <c r="I16" s="23">
        <f>B16</f>
        <v/>
      </c>
      <c r="J16" s="20">
        <f>IF(TIMEVALUE(LEFT(C16, FIND("〜", C16&amp;"〜")-1)) &gt; TIME(13, 0, 0), B16+1, B16)</f>
        <v/>
      </c>
      <c r="K16" s="10" t="n"/>
      <c r="L16" s="40" t="inlineStr">
        <is>
          <t>E015</t>
        </is>
      </c>
      <c r="M16" s="37" t="inlineStr">
        <is>
          <t>若菜グルコン共通</t>
        </is>
      </c>
      <c r="N16" s="41" t="n"/>
      <c r="O16" s="41" t="n"/>
      <c r="P16" s="37">
        <f>{{グルコン事前フォームURL}}</f>
        <v/>
      </c>
      <c r="Q16" s="41" t="inlineStr">
        <is>
          <t>未実施</t>
        </is>
      </c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</row>
    <row r="17">
      <c r="A17" s="26" t="inlineStr">
        <is>
          <t>第4回 動画配信</t>
        </is>
      </c>
      <c r="B17" s="15" t="n">
        <v>46230</v>
      </c>
      <c r="C17" s="28" t="n">
        <v>0.2916666666666667</v>
      </c>
      <c r="D17" s="16" t="inlineStr">
        <is>
          <t>メールのみ</t>
        </is>
      </c>
      <c r="E17" s="29">
        <f>I17-3</f>
        <v/>
      </c>
      <c r="F17" s="21" t="inlineStr">
        <is>
          <t>-</t>
        </is>
      </c>
      <c r="G17" s="21" t="inlineStr">
        <is>
          <t>-</t>
        </is>
      </c>
      <c r="H17" s="24" t="inlineStr">
        <is>
          <t>-</t>
        </is>
      </c>
      <c r="I17" s="23">
        <f>B17</f>
        <v/>
      </c>
      <c r="J17" s="24" t="inlineStr">
        <is>
          <t>-</t>
        </is>
      </c>
      <c r="K17" s="10" t="n"/>
      <c r="L17" s="40" t="inlineStr">
        <is>
          <t>E016</t>
        </is>
      </c>
      <c r="M17" s="37" t="inlineStr">
        <is>
          <t>Zoomなし</t>
        </is>
      </c>
      <c r="N17" s="41" t="n"/>
      <c r="O17" s="41" t="n"/>
      <c r="P17" s="37" t="inlineStr"/>
      <c r="Q17" s="41" t="inlineStr">
        <is>
          <t>未実施</t>
        </is>
      </c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</row>
    <row r="18">
      <c r="A18" s="26" t="inlineStr">
        <is>
          <t>課題作業会</t>
        </is>
      </c>
      <c r="B18" s="15" t="n">
        <v>46231</v>
      </c>
      <c r="C18" s="16" t="inlineStr">
        <is>
          <t>10:00〜11:00</t>
        </is>
      </c>
      <c r="D18" s="16" t="inlineStr">
        <is>
          <t>山下直子先生</t>
        </is>
      </c>
      <c r="E18" s="20">
        <f>F18-3</f>
        <v/>
      </c>
      <c r="F18" s="23">
        <f>B18-3</f>
        <v/>
      </c>
      <c r="G18" s="23">
        <f>B18-1</f>
        <v/>
      </c>
      <c r="H18" s="20">
        <f>G18</f>
        <v/>
      </c>
      <c r="I18" s="23">
        <f>B18</f>
        <v/>
      </c>
      <c r="J18" s="20">
        <f>IF(TIMEVALUE(LEFT(C18, FIND("〜", C18&amp;"〜")-1)) &gt; TIME(13, 0, 0), B18+1, B18)</f>
        <v/>
      </c>
      <c r="K18" s="10" t="n"/>
      <c r="L18" s="40" t="inlineStr">
        <is>
          <t>E017</t>
        </is>
      </c>
      <c r="M18" s="37" t="inlineStr">
        <is>
          <t>個別</t>
        </is>
      </c>
      <c r="N18" s="41" t="n"/>
      <c r="O18" s="41" t="n"/>
      <c r="P18" s="37">
        <f>{{課題作業会事前フォームURL}}</f>
        <v/>
      </c>
      <c r="Q18" s="41" t="inlineStr">
        <is>
          <t>未実施</t>
        </is>
      </c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</row>
    <row r="19">
      <c r="A19" s="26" t="inlineStr">
        <is>
          <t>キャッチアップウェンズデー</t>
        </is>
      </c>
      <c r="B19" s="15" t="n">
        <v>46232</v>
      </c>
      <c r="C19" s="16" t="inlineStr">
        <is>
          <t>20:30〜22:00</t>
        </is>
      </c>
      <c r="D19" s="16" t="inlineStr">
        <is>
          <t>富田紫先生</t>
        </is>
      </c>
      <c r="E19" s="20">
        <f>G19-2</f>
        <v/>
      </c>
      <c r="F19" s="21" t="inlineStr">
        <is>
          <t>-</t>
        </is>
      </c>
      <c r="G19" s="23">
        <f>B19-1</f>
        <v/>
      </c>
      <c r="H19" s="24" t="inlineStr">
        <is>
          <t>-</t>
        </is>
      </c>
      <c r="I19" s="23">
        <f>B19</f>
        <v/>
      </c>
      <c r="J19" s="20">
        <f>IF(TIMEVALUE(LEFT(C19, FIND("〜", C19&amp;"〜")-1)) &gt; TIME(13, 0, 0), B19+1, B19)</f>
        <v/>
      </c>
      <c r="K19" s="10" t="n"/>
      <c r="L19" s="40" t="inlineStr">
        <is>
          <t>E018</t>
        </is>
      </c>
      <c r="M19" s="37" t="inlineStr">
        <is>
          <t>未定(サポート講師待ち)</t>
        </is>
      </c>
      <c r="N19" s="41" t="n"/>
      <c r="O19" s="41" t="n"/>
      <c r="P19" s="37" t="inlineStr"/>
      <c r="Q19" s="41" t="inlineStr">
        <is>
          <t>未実施</t>
        </is>
      </c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</row>
    <row r="20">
      <c r="A20" s="26" t="inlineStr">
        <is>
          <t>サポート講師ビギナーグルコン</t>
        </is>
      </c>
      <c r="B20" s="15" t="n">
        <v>46234</v>
      </c>
      <c r="C20" s="16" t="inlineStr">
        <is>
          <t>10:00〜11:00</t>
        </is>
      </c>
      <c r="D20" s="16" t="inlineStr">
        <is>
          <t>神保麻紀先生</t>
        </is>
      </c>
      <c r="E20" s="20">
        <f>F20-2</f>
        <v/>
      </c>
      <c r="F20" s="23">
        <f>B20-3</f>
        <v/>
      </c>
      <c r="G20" s="23">
        <f>B20-1</f>
        <v/>
      </c>
      <c r="H20" s="20">
        <f>G20</f>
        <v/>
      </c>
      <c r="I20" s="23">
        <f>B20</f>
        <v/>
      </c>
      <c r="J20" s="20">
        <f>IF(TIMEVALUE(LEFT(C20, FIND("〜", C20&amp;"〜")-1)) &gt; TIME(13, 0, 0), B20+1, B20)</f>
        <v/>
      </c>
      <c r="K20" s="10" t="n"/>
      <c r="L20" s="40" t="inlineStr">
        <is>
          <t>E019</t>
        </is>
      </c>
      <c r="M20" s="37" t="inlineStr">
        <is>
          <t>未定(サポート講師待ち)</t>
        </is>
      </c>
      <c r="N20" s="41" t="n"/>
      <c r="O20" s="41" t="n"/>
      <c r="P20" s="37">
        <f>{{ビギナーグルコン事前フォームURL}}</f>
        <v/>
      </c>
      <c r="Q20" s="41" t="inlineStr">
        <is>
          <t>未実施</t>
        </is>
      </c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</row>
    <row r="21">
      <c r="A21" s="26" t="inlineStr">
        <is>
          <t>キャッチアップマンデー</t>
        </is>
      </c>
      <c r="B21" s="15" t="n">
        <v>46237</v>
      </c>
      <c r="C21" s="16" t="inlineStr">
        <is>
          <t>10:30〜12:00</t>
        </is>
      </c>
      <c r="D21" s="16" t="inlineStr">
        <is>
          <t>若菜先生</t>
        </is>
      </c>
      <c r="E21" s="20">
        <f>G21-3</f>
        <v/>
      </c>
      <c r="F21" s="21" t="inlineStr">
        <is>
          <t>-</t>
        </is>
      </c>
      <c r="G21" s="23">
        <f>B21-1</f>
        <v/>
      </c>
      <c r="H21" s="24" t="inlineStr">
        <is>
          <t>-</t>
        </is>
      </c>
      <c r="I21" s="23">
        <f>B21</f>
        <v/>
      </c>
      <c r="J21" s="20">
        <f>IF(TIMEVALUE(LEFT(C21, FIND("〜", C21&amp;"〜")-1)) &gt; TIME(13, 0, 0), B21+1, B21)</f>
        <v/>
      </c>
      <c r="K21" s="10" t="n"/>
      <c r="L21" s="40" t="inlineStr">
        <is>
          <t>E020</t>
        </is>
      </c>
      <c r="M21" s="37" t="inlineStr">
        <is>
          <t>若菜マンデー共通</t>
        </is>
      </c>
      <c r="N21" s="41" t="n"/>
      <c r="O21" s="41" t="n"/>
      <c r="P21" s="37" t="inlineStr"/>
      <c r="Q21" s="41" t="inlineStr">
        <is>
          <t>未実施</t>
        </is>
      </c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</row>
    <row r="22">
      <c r="A22" s="26" t="inlineStr">
        <is>
          <t>グルコン</t>
        </is>
      </c>
      <c r="B22" s="15" t="n">
        <v>46240</v>
      </c>
      <c r="C22" s="16" t="inlineStr">
        <is>
          <t>21:00〜22:00</t>
        </is>
      </c>
      <c r="D22" s="16" t="inlineStr">
        <is>
          <t>若菜先生</t>
        </is>
      </c>
      <c r="E22" s="20">
        <f>F22-3</f>
        <v/>
      </c>
      <c r="F22" s="23">
        <f>B22-3</f>
        <v/>
      </c>
      <c r="G22" s="23">
        <f>B22-1</f>
        <v/>
      </c>
      <c r="H22" s="20">
        <f>G22</f>
        <v/>
      </c>
      <c r="I22" s="23">
        <f>B22</f>
        <v/>
      </c>
      <c r="J22" s="20">
        <f>IF(TIMEVALUE(LEFT(C22, FIND("〜", C22&amp;"〜")-1)) &gt; TIME(13, 0, 0), B22+1, B22)</f>
        <v/>
      </c>
      <c r="K22" s="10" t="n"/>
      <c r="L22" s="40" t="inlineStr">
        <is>
          <t>E021</t>
        </is>
      </c>
      <c r="M22" s="37" t="inlineStr">
        <is>
          <t>若菜グルコン共通</t>
        </is>
      </c>
      <c r="N22" s="41" t="n"/>
      <c r="O22" s="41" t="n"/>
      <c r="P22" s="37">
        <f>{{グルコン事前フォームURL}}</f>
        <v/>
      </c>
      <c r="Q22" s="41" t="inlineStr">
        <is>
          <t>未実施</t>
        </is>
      </c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</row>
    <row r="23">
      <c r="A23" s="26" t="inlineStr">
        <is>
          <t>第5回 動画配信</t>
        </is>
      </c>
      <c r="B23" s="15" t="n">
        <v>46244</v>
      </c>
      <c r="C23" s="28" t="n">
        <v>0.2916666666666667</v>
      </c>
      <c r="D23" s="16" t="inlineStr">
        <is>
          <t>メールのみ</t>
        </is>
      </c>
      <c r="E23" s="29">
        <f>I23-3</f>
        <v/>
      </c>
      <c r="F23" s="21" t="inlineStr">
        <is>
          <t>-</t>
        </is>
      </c>
      <c r="G23" s="21" t="inlineStr">
        <is>
          <t>-</t>
        </is>
      </c>
      <c r="H23" s="24" t="inlineStr">
        <is>
          <t>-</t>
        </is>
      </c>
      <c r="I23" s="23">
        <f>B23</f>
        <v/>
      </c>
      <c r="J23" s="24" t="inlineStr">
        <is>
          <t>-</t>
        </is>
      </c>
      <c r="K23" s="10" t="n"/>
      <c r="L23" s="40" t="inlineStr">
        <is>
          <t>E022</t>
        </is>
      </c>
      <c r="M23" s="37" t="inlineStr">
        <is>
          <t>Zoomなし</t>
        </is>
      </c>
      <c r="N23" s="41" t="n"/>
      <c r="O23" s="41" t="n"/>
      <c r="P23" s="37" t="inlineStr"/>
      <c r="Q23" s="41" t="inlineStr">
        <is>
          <t>未実施</t>
        </is>
      </c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</row>
    <row r="24">
      <c r="A24" s="26" t="inlineStr">
        <is>
          <t>キャッチアップウェンズデー</t>
        </is>
      </c>
      <c r="B24" s="15" t="n">
        <v>46246</v>
      </c>
      <c r="C24" s="16" t="inlineStr">
        <is>
          <t>9:30〜11:00</t>
        </is>
      </c>
      <c r="D24" s="16" t="inlineStr">
        <is>
          <t>山下直子先生</t>
        </is>
      </c>
      <c r="E24" s="20">
        <f>G24-2</f>
        <v/>
      </c>
      <c r="F24" s="21" t="inlineStr">
        <is>
          <t>-</t>
        </is>
      </c>
      <c r="G24" s="23">
        <f>B24-1</f>
        <v/>
      </c>
      <c r="H24" s="24" t="inlineStr">
        <is>
          <t>-</t>
        </is>
      </c>
      <c r="I24" s="23">
        <f>B24</f>
        <v/>
      </c>
      <c r="J24" s="20">
        <f>IF(TIMEVALUE(LEFT(C24, FIND("〜", C24&amp;"〜")-1)) &gt; TIME(13, 0, 0), B24+1, B24)</f>
        <v/>
      </c>
      <c r="K24" s="10" t="n"/>
      <c r="L24" s="40" t="inlineStr">
        <is>
          <t>E023</t>
        </is>
      </c>
      <c r="M24" s="37" t="inlineStr">
        <is>
          <t>未定(サポート講師待ち)</t>
        </is>
      </c>
      <c r="N24" s="41" t="n"/>
      <c r="O24" s="41" t="n"/>
      <c r="P24" s="37" t="inlineStr"/>
      <c r="Q24" s="41" t="inlineStr">
        <is>
          <t>未実施</t>
        </is>
      </c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</row>
    <row r="25">
      <c r="A25" s="26" t="inlineStr">
        <is>
          <t>キャッチアップマンデー</t>
        </is>
      </c>
      <c r="B25" s="15" t="n">
        <v>46251</v>
      </c>
      <c r="C25" s="16" t="inlineStr">
        <is>
          <t>10:30〜12:00</t>
        </is>
      </c>
      <c r="D25" s="16" t="inlineStr">
        <is>
          <t>若菜先生</t>
        </is>
      </c>
      <c r="E25" s="20">
        <f>G25-3</f>
        <v/>
      </c>
      <c r="F25" s="21" t="inlineStr">
        <is>
          <t>-</t>
        </is>
      </c>
      <c r="G25" s="23">
        <f>B25-1</f>
        <v/>
      </c>
      <c r="H25" s="24" t="inlineStr">
        <is>
          <t>-</t>
        </is>
      </c>
      <c r="I25" s="23">
        <f>B25</f>
        <v/>
      </c>
      <c r="J25" s="20">
        <f>IF(TIMEVALUE(LEFT(C25, FIND("〜", C25&amp;"〜")-1)) &gt; TIME(13, 0, 0), B25+1, B25)</f>
        <v/>
      </c>
      <c r="K25" s="10" t="n"/>
      <c r="L25" s="40" t="inlineStr">
        <is>
          <t>E024</t>
        </is>
      </c>
      <c r="M25" s="37" t="inlineStr">
        <is>
          <t>若菜マンデー共通</t>
        </is>
      </c>
      <c r="N25" s="41" t="n"/>
      <c r="O25" s="41" t="n"/>
      <c r="P25" s="37" t="inlineStr"/>
      <c r="Q25" s="41" t="inlineStr">
        <is>
          <t>未実施</t>
        </is>
      </c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</row>
    <row r="26">
      <c r="A26" s="26" t="inlineStr">
        <is>
          <t>グルコン</t>
        </is>
      </c>
      <c r="B26" s="15" t="n">
        <v>46254</v>
      </c>
      <c r="C26" s="16" t="inlineStr">
        <is>
          <t>10:00〜11:00</t>
        </is>
      </c>
      <c r="D26" s="16" t="inlineStr">
        <is>
          <t>若菜先生</t>
        </is>
      </c>
      <c r="E26" s="20">
        <f>F26-3</f>
        <v/>
      </c>
      <c r="F26" s="23">
        <f>B26-3</f>
        <v/>
      </c>
      <c r="G26" s="23">
        <f>B26-1</f>
        <v/>
      </c>
      <c r="H26" s="20">
        <f>G26</f>
        <v/>
      </c>
      <c r="I26" s="23">
        <f>B26</f>
        <v/>
      </c>
      <c r="J26" s="20">
        <f>IF(TIMEVALUE(LEFT(C26, FIND("〜", C26&amp;"〜")-1)) &gt; TIME(13, 0, 0), B26+1, B26)</f>
        <v/>
      </c>
      <c r="K26" s="10" t="n"/>
      <c r="L26" s="40" t="inlineStr">
        <is>
          <t>E025</t>
        </is>
      </c>
      <c r="M26" s="37" t="inlineStr">
        <is>
          <t>若菜グルコン共通</t>
        </is>
      </c>
      <c r="N26" s="41" t="n"/>
      <c r="O26" s="41" t="n"/>
      <c r="P26" s="37">
        <f>{{グルコン事前フォームURL}}</f>
        <v/>
      </c>
      <c r="Q26" s="41" t="inlineStr">
        <is>
          <t>未実施</t>
        </is>
      </c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</row>
    <row r="27">
      <c r="A27" s="26" t="inlineStr">
        <is>
          <t>サポート講師ビギナーグルコン</t>
        </is>
      </c>
      <c r="B27" s="15" t="n">
        <v>46255</v>
      </c>
      <c r="C27" s="16" t="inlineStr">
        <is>
          <t>21:00〜22:00</t>
        </is>
      </c>
      <c r="D27" s="16" t="inlineStr">
        <is>
          <t>山知雅代先生</t>
        </is>
      </c>
      <c r="E27" s="20">
        <f>F27-2</f>
        <v/>
      </c>
      <c r="F27" s="23">
        <f>B27-3</f>
        <v/>
      </c>
      <c r="G27" s="23">
        <f>B27-1</f>
        <v/>
      </c>
      <c r="H27" s="20">
        <f>G27</f>
        <v/>
      </c>
      <c r="I27" s="23">
        <f>B27</f>
        <v/>
      </c>
      <c r="J27" s="20">
        <f>IF(TIMEVALUE(LEFT(C27, FIND("〜", C27&amp;"〜")-1)) &gt; TIME(13, 0, 0), B27+1, B27)</f>
        <v/>
      </c>
      <c r="K27" s="10" t="n"/>
      <c r="L27" s="40" t="inlineStr">
        <is>
          <t>E026</t>
        </is>
      </c>
      <c r="M27" s="37" t="inlineStr">
        <is>
          <t>未定(サポート講師待ち)</t>
        </is>
      </c>
      <c r="N27" s="41" t="n"/>
      <c r="O27" s="41" t="n"/>
      <c r="P27" s="37">
        <f>{{ビギナーグルコン事前フォームURL}}</f>
        <v/>
      </c>
      <c r="Q27" s="41" t="inlineStr">
        <is>
          <t>未実施</t>
        </is>
      </c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</row>
    <row r="28">
      <c r="A28" s="26" t="inlineStr">
        <is>
          <t>第6回 動画配信</t>
        </is>
      </c>
      <c r="B28" s="15" t="n">
        <v>46258</v>
      </c>
      <c r="C28" s="28" t="n">
        <v>0.2916666666666667</v>
      </c>
      <c r="D28" s="16" t="inlineStr">
        <is>
          <t>メールのみ</t>
        </is>
      </c>
      <c r="E28" s="29">
        <f>I28-3</f>
        <v/>
      </c>
      <c r="F28" s="21" t="inlineStr">
        <is>
          <t>-</t>
        </is>
      </c>
      <c r="G28" s="21" t="inlineStr">
        <is>
          <t>-</t>
        </is>
      </c>
      <c r="H28" s="24" t="inlineStr">
        <is>
          <t>-</t>
        </is>
      </c>
      <c r="I28" s="23">
        <f>B28</f>
        <v/>
      </c>
      <c r="J28" s="24" t="inlineStr">
        <is>
          <t>-</t>
        </is>
      </c>
      <c r="K28" s="10" t="n"/>
      <c r="L28" s="40" t="inlineStr">
        <is>
          <t>E027</t>
        </is>
      </c>
      <c r="M28" s="37" t="inlineStr">
        <is>
          <t>Zoomなし</t>
        </is>
      </c>
      <c r="N28" s="41" t="n"/>
      <c r="O28" s="41" t="n"/>
      <c r="P28" s="37" t="inlineStr"/>
      <c r="Q28" s="41" t="inlineStr">
        <is>
          <t>未実施</t>
        </is>
      </c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</row>
    <row r="29">
      <c r="A29" s="26" t="inlineStr">
        <is>
          <t>グルコン</t>
        </is>
      </c>
      <c r="B29" s="15" t="n">
        <v>46261</v>
      </c>
      <c r="C29" s="16" t="inlineStr">
        <is>
          <t>21:00〜22:00</t>
        </is>
      </c>
      <c r="D29" s="16" t="inlineStr">
        <is>
          <t>若菜先生</t>
        </is>
      </c>
      <c r="E29" s="20">
        <f>F29-3</f>
        <v/>
      </c>
      <c r="F29" s="23">
        <f>B29-3</f>
        <v/>
      </c>
      <c r="G29" s="23">
        <f>B29-1</f>
        <v/>
      </c>
      <c r="H29" s="20">
        <f>G29</f>
        <v/>
      </c>
      <c r="I29" s="23">
        <f>B29</f>
        <v/>
      </c>
      <c r="J29" s="20">
        <f>IF(TIMEVALUE(LEFT(C29, FIND("〜", C29&amp;"〜")-1)) &gt; TIME(13, 0, 0), B29+1, B29)</f>
        <v/>
      </c>
      <c r="K29" s="10" t="n"/>
      <c r="L29" s="40" t="inlineStr">
        <is>
          <t>E028</t>
        </is>
      </c>
      <c r="M29" s="37" t="inlineStr">
        <is>
          <t>若菜グルコン共通</t>
        </is>
      </c>
      <c r="N29" s="41" t="n"/>
      <c r="O29" s="41" t="n"/>
      <c r="P29" s="37">
        <f>{{グルコン事前フォームURL}}</f>
        <v/>
      </c>
      <c r="Q29" s="41" t="inlineStr">
        <is>
          <t>未実施</t>
        </is>
      </c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</row>
    <row r="30">
      <c r="A30" s="10" t="n"/>
      <c r="B30" s="3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</row>
    <row r="31">
      <c r="A31" s="10" t="n"/>
      <c r="B31" s="3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</row>
    <row r="32">
      <c r="A32" s="10" t="n"/>
      <c r="B32" s="3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</row>
    <row r="33">
      <c r="A33" s="10" t="n"/>
      <c r="B33" s="3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</row>
    <row r="34">
      <c r="A34" s="10" t="n"/>
      <c r="B34" s="3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</row>
    <row r="35">
      <c r="A35" s="10" t="n"/>
      <c r="B35" s="3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</row>
    <row r="36">
      <c r="A36" s="10" t="n"/>
      <c r="B36" s="3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</row>
    <row r="37">
      <c r="A37" s="10" t="n"/>
      <c r="B37" s="3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</row>
    <row r="38">
      <c r="A38" s="10" t="n"/>
      <c r="B38" s="3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</row>
    <row r="39">
      <c r="A39" s="10" t="n"/>
      <c r="B39" s="3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</row>
    <row r="40">
      <c r="A40" s="10" t="n"/>
      <c r="B40" s="3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</row>
    <row r="41">
      <c r="A41" s="10" t="n"/>
      <c r="B41" s="3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</row>
    <row r="42">
      <c r="A42" s="10" t="n"/>
      <c r="B42" s="3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</row>
    <row r="43">
      <c r="A43" s="10" t="n"/>
      <c r="B43" s="3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</row>
    <row r="44">
      <c r="A44" s="10" t="n"/>
      <c r="B44" s="3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</row>
    <row r="45">
      <c r="A45" s="10" t="n"/>
      <c r="B45" s="3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</row>
    <row r="46">
      <c r="A46" s="10" t="n"/>
      <c r="B46" s="3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</row>
    <row r="47">
      <c r="A47" s="10" t="n"/>
      <c r="B47" s="3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</row>
    <row r="48">
      <c r="A48" s="10" t="n"/>
      <c r="B48" s="3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</row>
    <row r="49">
      <c r="A49" s="10" t="n"/>
      <c r="B49" s="3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</row>
    <row r="50">
      <c r="A50" s="10" t="n"/>
      <c r="B50" s="3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</row>
    <row r="51">
      <c r="A51" s="10" t="n"/>
      <c r="B51" s="3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</row>
    <row r="52">
      <c r="A52" s="10" t="n"/>
      <c r="B52" s="3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</row>
    <row r="53">
      <c r="A53" s="10" t="n"/>
      <c r="B53" s="3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</row>
    <row r="54">
      <c r="A54" s="10" t="n"/>
      <c r="B54" s="3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</row>
    <row r="55">
      <c r="A55" s="10" t="n"/>
      <c r="B55" s="3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</row>
    <row r="56">
      <c r="A56" s="10" t="n"/>
      <c r="B56" s="3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</row>
    <row r="57">
      <c r="A57" s="10" t="n"/>
      <c r="B57" s="3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</row>
    <row r="58">
      <c r="A58" s="10" t="n"/>
      <c r="B58" s="3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</row>
    <row r="59">
      <c r="A59" s="10" t="n"/>
      <c r="B59" s="3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</row>
    <row r="60">
      <c r="A60" s="10" t="n"/>
      <c r="B60" s="3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</row>
    <row r="61">
      <c r="A61" s="10" t="n"/>
      <c r="B61" s="3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</row>
    <row r="62">
      <c r="A62" s="10" t="n"/>
      <c r="B62" s="3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</row>
    <row r="63">
      <c r="A63" s="10" t="n"/>
      <c r="B63" s="3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</row>
    <row r="64">
      <c r="A64" s="10" t="n"/>
      <c r="B64" s="3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</row>
    <row r="65">
      <c r="A65" s="10" t="n"/>
      <c r="B65" s="3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</row>
    <row r="66">
      <c r="A66" s="10" t="n"/>
      <c r="B66" s="3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</row>
    <row r="67">
      <c r="A67" s="10" t="n"/>
      <c r="B67" s="3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</row>
    <row r="68">
      <c r="A68" s="10" t="n"/>
      <c r="B68" s="3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</row>
    <row r="69">
      <c r="A69" s="10" t="n"/>
      <c r="B69" s="3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</row>
    <row r="70">
      <c r="A70" s="10" t="n"/>
      <c r="B70" s="3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</row>
    <row r="71">
      <c r="A71" s="10" t="n"/>
      <c r="B71" s="3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</row>
    <row r="72">
      <c r="A72" s="10" t="n"/>
      <c r="B72" s="3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</row>
    <row r="73">
      <c r="A73" s="10" t="n"/>
      <c r="B73" s="3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</row>
    <row r="74">
      <c r="A74" s="10" t="n"/>
      <c r="B74" s="3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</row>
    <row r="75">
      <c r="A75" s="10" t="n"/>
      <c r="B75" s="3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</row>
    <row r="76">
      <c r="A76" s="10" t="n"/>
      <c r="B76" s="3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</row>
    <row r="77">
      <c r="A77" s="10" t="n"/>
      <c r="B77" s="3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</row>
    <row r="78">
      <c r="A78" s="10" t="n"/>
      <c r="B78" s="3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</row>
    <row r="79">
      <c r="A79" s="10" t="n"/>
      <c r="B79" s="3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</row>
    <row r="80">
      <c r="A80" s="10" t="n"/>
      <c r="B80" s="3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</row>
    <row r="81">
      <c r="A81" s="10" t="n"/>
      <c r="B81" s="3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</row>
    <row r="82">
      <c r="A82" s="10" t="n"/>
      <c r="B82" s="3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</row>
    <row r="83">
      <c r="A83" s="10" t="n"/>
      <c r="B83" s="3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</row>
    <row r="84">
      <c r="A84" s="10" t="n"/>
      <c r="B84" s="3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</row>
    <row r="85">
      <c r="A85" s="10" t="n"/>
      <c r="B85" s="3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</row>
    <row r="86">
      <c r="A86" s="10" t="n"/>
      <c r="B86" s="3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</row>
    <row r="87">
      <c r="A87" s="10" t="n"/>
      <c r="B87" s="3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</row>
    <row r="88">
      <c r="A88" s="10" t="n"/>
      <c r="B88" s="3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</row>
    <row r="89">
      <c r="A89" s="10" t="n"/>
      <c r="B89" s="3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</row>
    <row r="90">
      <c r="A90" s="10" t="n"/>
      <c r="B90" s="3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</row>
    <row r="91">
      <c r="A91" s="10" t="n"/>
      <c r="B91" s="3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</row>
    <row r="92">
      <c r="A92" s="10" t="n"/>
      <c r="B92" s="3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</row>
    <row r="93">
      <c r="A93" s="10" t="n"/>
      <c r="B93" s="3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</row>
    <row r="94">
      <c r="A94" s="10" t="n"/>
      <c r="B94" s="3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</row>
    <row r="95">
      <c r="A95" s="10" t="n"/>
      <c r="B95" s="3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</row>
    <row r="96">
      <c r="A96" s="10" t="n"/>
      <c r="B96" s="3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</row>
    <row r="97">
      <c r="A97" s="10" t="n"/>
      <c r="B97" s="3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</row>
    <row r="98">
      <c r="A98" s="10" t="n"/>
      <c r="B98" s="3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</row>
    <row r="99">
      <c r="A99" s="10" t="n"/>
      <c r="B99" s="3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</row>
    <row r="100">
      <c r="A100" s="10" t="n"/>
      <c r="B100" s="3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</row>
    <row r="101">
      <c r="A101" s="10" t="n"/>
      <c r="B101" s="3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</row>
    <row r="102">
      <c r="A102" s="10" t="n"/>
      <c r="B102" s="3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</row>
    <row r="103">
      <c r="A103" s="10" t="n"/>
      <c r="B103" s="3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</row>
    <row r="104">
      <c r="A104" s="10" t="n"/>
      <c r="B104" s="3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</row>
    <row r="105">
      <c r="A105" s="10" t="n"/>
      <c r="B105" s="3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</row>
    <row r="106">
      <c r="A106" s="10" t="n"/>
      <c r="B106" s="3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</row>
    <row r="107">
      <c r="A107" s="10" t="n"/>
      <c r="B107" s="3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</row>
    <row r="108">
      <c r="A108" s="10" t="n"/>
      <c r="B108" s="3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</row>
    <row r="109">
      <c r="A109" s="10" t="n"/>
      <c r="B109" s="3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</row>
    <row r="110">
      <c r="A110" s="10" t="n"/>
      <c r="B110" s="3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</row>
    <row r="111">
      <c r="A111" s="10" t="n"/>
      <c r="B111" s="3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</row>
    <row r="112">
      <c r="A112" s="10" t="n"/>
      <c r="B112" s="3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</row>
    <row r="113">
      <c r="A113" s="10" t="n"/>
      <c r="B113" s="3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</row>
    <row r="114">
      <c r="A114" s="10" t="n"/>
      <c r="B114" s="3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</row>
    <row r="115">
      <c r="A115" s="10" t="n"/>
      <c r="B115" s="3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</row>
    <row r="116">
      <c r="A116" s="10" t="n"/>
      <c r="B116" s="3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</row>
    <row r="117">
      <c r="A117" s="10" t="n"/>
      <c r="B117" s="3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</row>
    <row r="118">
      <c r="A118" s="10" t="n"/>
      <c r="B118" s="3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</row>
    <row r="119">
      <c r="A119" s="10" t="n"/>
      <c r="B119" s="3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</row>
    <row r="120">
      <c r="A120" s="10" t="n"/>
      <c r="B120" s="3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</row>
    <row r="121">
      <c r="A121" s="10" t="n"/>
      <c r="B121" s="3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</row>
    <row r="122">
      <c r="A122" s="10" t="n"/>
      <c r="B122" s="3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</row>
    <row r="123">
      <c r="A123" s="10" t="n"/>
      <c r="B123" s="3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</row>
    <row r="124">
      <c r="A124" s="10" t="n"/>
      <c r="B124" s="3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</row>
    <row r="125">
      <c r="A125" s="10" t="n"/>
      <c r="B125" s="3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</row>
    <row r="126">
      <c r="A126" s="10" t="n"/>
      <c r="B126" s="3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</row>
    <row r="127">
      <c r="A127" s="10" t="n"/>
      <c r="B127" s="3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</row>
    <row r="128">
      <c r="A128" s="10" t="n"/>
      <c r="B128" s="3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</row>
    <row r="129">
      <c r="A129" s="10" t="n"/>
      <c r="B129" s="3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</row>
    <row r="130">
      <c r="A130" s="10" t="n"/>
      <c r="B130" s="3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</row>
    <row r="131">
      <c r="A131" s="10" t="n"/>
      <c r="B131" s="3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</row>
    <row r="132">
      <c r="A132" s="10" t="n"/>
      <c r="B132" s="3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</row>
    <row r="133">
      <c r="A133" s="10" t="n"/>
      <c r="B133" s="3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</row>
    <row r="134">
      <c r="A134" s="10" t="n"/>
      <c r="B134" s="3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</row>
    <row r="135">
      <c r="A135" s="10" t="n"/>
      <c r="B135" s="3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</row>
    <row r="136">
      <c r="A136" s="10" t="n"/>
      <c r="B136" s="3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</row>
    <row r="137">
      <c r="A137" s="10" t="n"/>
      <c r="B137" s="3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</row>
    <row r="138">
      <c r="A138" s="10" t="n"/>
      <c r="B138" s="3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</row>
    <row r="139">
      <c r="A139" s="10" t="n"/>
      <c r="B139" s="3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</row>
    <row r="140">
      <c r="A140" s="10" t="n"/>
      <c r="B140" s="3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</row>
    <row r="141">
      <c r="A141" s="10" t="n"/>
      <c r="B141" s="3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</row>
    <row r="142">
      <c r="A142" s="10" t="n"/>
      <c r="B142" s="3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</row>
    <row r="143">
      <c r="A143" s="10" t="n"/>
      <c r="B143" s="3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</row>
    <row r="144">
      <c r="A144" s="10" t="n"/>
      <c r="B144" s="3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</row>
    <row r="145">
      <c r="A145" s="10" t="n"/>
      <c r="B145" s="3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</row>
    <row r="146">
      <c r="A146" s="10" t="n"/>
      <c r="B146" s="3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</row>
    <row r="147">
      <c r="A147" s="10" t="n"/>
      <c r="B147" s="3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</row>
    <row r="148">
      <c r="A148" s="10" t="n"/>
      <c r="B148" s="3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</row>
    <row r="149">
      <c r="A149" s="10" t="n"/>
      <c r="B149" s="3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</row>
    <row r="150">
      <c r="A150" s="10" t="n"/>
      <c r="B150" s="3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</row>
    <row r="151">
      <c r="A151" s="10" t="n"/>
      <c r="B151" s="3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</row>
    <row r="152">
      <c r="A152" s="10" t="n"/>
      <c r="B152" s="3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</row>
    <row r="153">
      <c r="A153" s="10" t="n"/>
      <c r="B153" s="3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</row>
    <row r="154">
      <c r="A154" s="10" t="n"/>
      <c r="B154" s="3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</row>
    <row r="155">
      <c r="A155" s="10" t="n"/>
      <c r="B155" s="3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</row>
    <row r="156">
      <c r="A156" s="10" t="n"/>
      <c r="B156" s="3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</row>
    <row r="157">
      <c r="A157" s="10" t="n"/>
      <c r="B157" s="3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</row>
    <row r="158">
      <c r="A158" s="10" t="n"/>
      <c r="B158" s="3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</row>
    <row r="159">
      <c r="A159" s="10" t="n"/>
      <c r="B159" s="3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</row>
    <row r="160">
      <c r="A160" s="10" t="n"/>
      <c r="B160" s="3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</row>
    <row r="161">
      <c r="A161" s="10" t="n"/>
      <c r="B161" s="3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</row>
    <row r="162">
      <c r="A162" s="10" t="n"/>
      <c r="B162" s="3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</row>
    <row r="163">
      <c r="A163" s="10" t="n"/>
      <c r="B163" s="3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</row>
    <row r="164">
      <c r="A164" s="10" t="n"/>
      <c r="B164" s="3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</row>
    <row r="165">
      <c r="A165" s="10" t="n"/>
      <c r="B165" s="3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</row>
    <row r="166">
      <c r="A166" s="10" t="n"/>
      <c r="B166" s="3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</row>
    <row r="167">
      <c r="A167" s="10" t="n"/>
      <c r="B167" s="3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</row>
    <row r="168">
      <c r="A168" s="10" t="n"/>
      <c r="B168" s="3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</row>
    <row r="169">
      <c r="A169" s="10" t="n"/>
      <c r="B169" s="3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</row>
    <row r="170">
      <c r="A170" s="10" t="n"/>
      <c r="B170" s="3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</row>
    <row r="171">
      <c r="A171" s="10" t="n"/>
      <c r="B171" s="3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</row>
    <row r="172">
      <c r="A172" s="10" t="n"/>
      <c r="B172" s="3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</row>
    <row r="173">
      <c r="A173" s="10" t="n"/>
      <c r="B173" s="3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</row>
    <row r="174">
      <c r="A174" s="10" t="n"/>
      <c r="B174" s="3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</row>
    <row r="175">
      <c r="A175" s="10" t="n"/>
      <c r="B175" s="3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</row>
    <row r="176">
      <c r="A176" s="10" t="n"/>
      <c r="B176" s="3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</row>
    <row r="177">
      <c r="A177" s="10" t="n"/>
      <c r="B177" s="3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</row>
    <row r="178">
      <c r="A178" s="10" t="n"/>
      <c r="B178" s="3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</row>
    <row r="179">
      <c r="A179" s="10" t="n"/>
      <c r="B179" s="3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</row>
    <row r="180">
      <c r="A180" s="10" t="n"/>
      <c r="B180" s="3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</row>
    <row r="181">
      <c r="A181" s="10" t="n"/>
      <c r="B181" s="3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</row>
    <row r="182">
      <c r="A182" s="10" t="n"/>
      <c r="B182" s="3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</row>
    <row r="183">
      <c r="A183" s="10" t="n"/>
      <c r="B183" s="3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</row>
    <row r="184">
      <c r="A184" s="10" t="n"/>
      <c r="B184" s="3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</row>
    <row r="185">
      <c r="A185" s="10" t="n"/>
      <c r="B185" s="3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</row>
    <row r="186">
      <c r="A186" s="10" t="n"/>
      <c r="B186" s="3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</row>
    <row r="187">
      <c r="A187" s="10" t="n"/>
      <c r="B187" s="3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</row>
    <row r="188">
      <c r="A188" s="10" t="n"/>
      <c r="B188" s="3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</row>
    <row r="189">
      <c r="A189" s="10" t="n"/>
      <c r="B189" s="3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</row>
    <row r="190">
      <c r="A190" s="10" t="n"/>
      <c r="B190" s="3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</row>
    <row r="191">
      <c r="A191" s="10" t="n"/>
      <c r="B191" s="3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</row>
    <row r="192">
      <c r="A192" s="10" t="n"/>
      <c r="B192" s="3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</row>
    <row r="193">
      <c r="A193" s="10" t="n"/>
      <c r="B193" s="3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</row>
    <row r="194">
      <c r="A194" s="10" t="n"/>
      <c r="B194" s="3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</row>
    <row r="195">
      <c r="A195" s="10" t="n"/>
      <c r="B195" s="3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</row>
    <row r="196">
      <c r="A196" s="10" t="n"/>
      <c r="B196" s="3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</row>
    <row r="197">
      <c r="A197" s="10" t="n"/>
      <c r="B197" s="3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</row>
    <row r="198">
      <c r="A198" s="10" t="n"/>
      <c r="B198" s="3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</row>
    <row r="199">
      <c r="A199" s="10" t="n"/>
      <c r="B199" s="3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</row>
    <row r="200">
      <c r="A200" s="10" t="n"/>
      <c r="B200" s="3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</row>
    <row r="201">
      <c r="A201" s="10" t="n"/>
      <c r="B201" s="3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</row>
    <row r="202">
      <c r="A202" s="10" t="n"/>
      <c r="B202" s="3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</row>
    <row r="203">
      <c r="A203" s="10" t="n"/>
      <c r="B203" s="3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</row>
    <row r="204">
      <c r="A204" s="10" t="n"/>
      <c r="B204" s="3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</row>
    <row r="205">
      <c r="A205" s="10" t="n"/>
      <c r="B205" s="3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</row>
    <row r="206">
      <c r="A206" s="10" t="n"/>
      <c r="B206" s="3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</row>
    <row r="207">
      <c r="A207" s="10" t="n"/>
      <c r="B207" s="3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</row>
    <row r="208">
      <c r="A208" s="10" t="n"/>
      <c r="B208" s="3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</row>
    <row r="209">
      <c r="A209" s="10" t="n"/>
      <c r="B209" s="3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</row>
    <row r="210">
      <c r="A210" s="10" t="n"/>
      <c r="B210" s="3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</row>
    <row r="211">
      <c r="A211" s="10" t="n"/>
      <c r="B211" s="3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</row>
    <row r="212">
      <c r="A212" s="10" t="n"/>
      <c r="B212" s="3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</row>
    <row r="213">
      <c r="A213" s="10" t="n"/>
      <c r="B213" s="3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</row>
    <row r="214">
      <c r="A214" s="10" t="n"/>
      <c r="B214" s="3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</row>
    <row r="215">
      <c r="A215" s="10" t="n"/>
      <c r="B215" s="3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</row>
    <row r="216">
      <c r="A216" s="10" t="n"/>
      <c r="B216" s="3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</row>
    <row r="217">
      <c r="A217" s="10" t="n"/>
      <c r="B217" s="3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</row>
    <row r="218">
      <c r="A218" s="10" t="n"/>
      <c r="B218" s="3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</row>
    <row r="219">
      <c r="A219" s="10" t="n"/>
      <c r="B219" s="3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</row>
    <row r="220">
      <c r="A220" s="10" t="n"/>
      <c r="B220" s="3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</row>
    <row r="221">
      <c r="A221" s="10" t="n"/>
      <c r="B221" s="3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</row>
    <row r="222">
      <c r="A222" s="10" t="n"/>
      <c r="B222" s="3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</row>
    <row r="223">
      <c r="A223" s="10" t="n"/>
      <c r="B223" s="3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</row>
    <row r="224">
      <c r="A224" s="10" t="n"/>
      <c r="B224" s="3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</row>
    <row r="225">
      <c r="A225" s="10" t="n"/>
      <c r="B225" s="3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</row>
    <row r="226">
      <c r="A226" s="10" t="n"/>
      <c r="B226" s="3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</row>
    <row r="227">
      <c r="A227" s="10" t="n"/>
      <c r="B227" s="3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</row>
    <row r="228">
      <c r="A228" s="10" t="n"/>
      <c r="B228" s="3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</row>
    <row r="229">
      <c r="A229" s="10" t="n"/>
      <c r="B229" s="3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</row>
    <row r="230">
      <c r="A230" s="10" t="n"/>
      <c r="B230" s="3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</row>
    <row r="231">
      <c r="A231" s="10" t="n"/>
      <c r="B231" s="3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</row>
    <row r="232">
      <c r="A232" s="10" t="n"/>
      <c r="B232" s="3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</row>
    <row r="233">
      <c r="A233" s="10" t="n"/>
      <c r="B233" s="3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</row>
    <row r="234">
      <c r="A234" s="10" t="n"/>
      <c r="B234" s="3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</row>
    <row r="235">
      <c r="A235" s="10" t="n"/>
      <c r="B235" s="3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</row>
    <row r="236">
      <c r="A236" s="10" t="n"/>
      <c r="B236" s="3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</row>
    <row r="237">
      <c r="A237" s="10" t="n"/>
      <c r="B237" s="3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</row>
    <row r="238">
      <c r="A238" s="10" t="n"/>
      <c r="B238" s="3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</row>
    <row r="239">
      <c r="A239" s="10" t="n"/>
      <c r="B239" s="3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</row>
    <row r="240">
      <c r="A240" s="10" t="n"/>
      <c r="B240" s="3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</row>
    <row r="241">
      <c r="A241" s="10" t="n"/>
      <c r="B241" s="3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</row>
    <row r="242">
      <c r="A242" s="10" t="n"/>
      <c r="B242" s="3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</row>
    <row r="243">
      <c r="A243" s="10" t="n"/>
      <c r="B243" s="3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</row>
    <row r="244">
      <c r="A244" s="10" t="n"/>
      <c r="B244" s="3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</row>
    <row r="245">
      <c r="A245" s="10" t="n"/>
      <c r="B245" s="3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</row>
    <row r="246">
      <c r="A246" s="10" t="n"/>
      <c r="B246" s="3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</row>
    <row r="247">
      <c r="A247" s="10" t="n"/>
      <c r="B247" s="3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</row>
    <row r="248">
      <c r="A248" s="10" t="n"/>
      <c r="B248" s="3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</row>
    <row r="249">
      <c r="A249" s="10" t="n"/>
      <c r="B249" s="3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</row>
    <row r="250">
      <c r="A250" s="10" t="n"/>
      <c r="B250" s="3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</row>
    <row r="251">
      <c r="A251" s="10" t="n"/>
      <c r="B251" s="3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</row>
    <row r="252">
      <c r="A252" s="10" t="n"/>
      <c r="B252" s="3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</row>
    <row r="253">
      <c r="A253" s="10" t="n"/>
      <c r="B253" s="3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</row>
    <row r="254">
      <c r="A254" s="10" t="n"/>
      <c r="B254" s="3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</row>
    <row r="255">
      <c r="A255" s="10" t="n"/>
      <c r="B255" s="3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</row>
    <row r="256">
      <c r="A256" s="10" t="n"/>
      <c r="B256" s="3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</row>
    <row r="257">
      <c r="A257" s="10" t="n"/>
      <c r="B257" s="3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</row>
    <row r="258">
      <c r="A258" s="10" t="n"/>
      <c r="B258" s="3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</row>
    <row r="259">
      <c r="A259" s="10" t="n"/>
      <c r="B259" s="3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</row>
    <row r="260">
      <c r="A260" s="10" t="n"/>
      <c r="B260" s="3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</row>
    <row r="261">
      <c r="A261" s="10" t="n"/>
      <c r="B261" s="3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</row>
    <row r="262">
      <c r="A262" s="10" t="n"/>
      <c r="B262" s="3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</row>
    <row r="263">
      <c r="A263" s="10" t="n"/>
      <c r="B263" s="3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</row>
    <row r="264">
      <c r="A264" s="10" t="n"/>
      <c r="B264" s="3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</row>
    <row r="265">
      <c r="A265" s="10" t="n"/>
      <c r="B265" s="3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</row>
    <row r="266">
      <c r="A266" s="10" t="n"/>
      <c r="B266" s="3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</row>
    <row r="267">
      <c r="A267" s="10" t="n"/>
      <c r="B267" s="3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</row>
    <row r="268">
      <c r="A268" s="10" t="n"/>
      <c r="B268" s="3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</row>
    <row r="269">
      <c r="A269" s="10" t="n"/>
      <c r="B269" s="3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</row>
    <row r="270">
      <c r="A270" s="10" t="n"/>
      <c r="B270" s="3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</row>
    <row r="271">
      <c r="A271" s="10" t="n"/>
      <c r="B271" s="3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</row>
    <row r="272">
      <c r="A272" s="10" t="n"/>
      <c r="B272" s="3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</row>
    <row r="273">
      <c r="A273" s="10" t="n"/>
      <c r="B273" s="3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</row>
    <row r="274">
      <c r="A274" s="10" t="n"/>
      <c r="B274" s="3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</row>
    <row r="275">
      <c r="A275" s="10" t="n"/>
      <c r="B275" s="3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</row>
    <row r="276">
      <c r="A276" s="10" t="n"/>
      <c r="B276" s="3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</row>
    <row r="277">
      <c r="A277" s="10" t="n"/>
      <c r="B277" s="3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</row>
    <row r="278">
      <c r="A278" s="10" t="n"/>
      <c r="B278" s="3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</row>
    <row r="279">
      <c r="A279" s="10" t="n"/>
      <c r="B279" s="3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</row>
    <row r="280">
      <c r="A280" s="10" t="n"/>
      <c r="B280" s="3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</row>
    <row r="281">
      <c r="A281" s="10" t="n"/>
      <c r="B281" s="3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</row>
    <row r="282">
      <c r="A282" s="10" t="n"/>
      <c r="B282" s="3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</row>
    <row r="283">
      <c r="A283" s="10" t="n"/>
      <c r="B283" s="3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</row>
    <row r="284">
      <c r="A284" s="10" t="n"/>
      <c r="B284" s="3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</row>
    <row r="285">
      <c r="A285" s="10" t="n"/>
      <c r="B285" s="3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</row>
    <row r="286">
      <c r="A286" s="10" t="n"/>
      <c r="B286" s="3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</row>
    <row r="287">
      <c r="A287" s="10" t="n"/>
      <c r="B287" s="3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</row>
    <row r="288">
      <c r="A288" s="10" t="n"/>
      <c r="B288" s="3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</row>
    <row r="289">
      <c r="A289" s="10" t="n"/>
      <c r="B289" s="3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</row>
    <row r="290">
      <c r="A290" s="10" t="n"/>
      <c r="B290" s="3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</row>
    <row r="291">
      <c r="A291" s="10" t="n"/>
      <c r="B291" s="3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</row>
    <row r="292">
      <c r="A292" s="10" t="n"/>
      <c r="B292" s="3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</row>
    <row r="293">
      <c r="A293" s="10" t="n"/>
      <c r="B293" s="3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</row>
    <row r="294">
      <c r="A294" s="10" t="n"/>
      <c r="B294" s="3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</row>
    <row r="295">
      <c r="A295" s="10" t="n"/>
      <c r="B295" s="3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</row>
    <row r="296">
      <c r="A296" s="10" t="n"/>
      <c r="B296" s="3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</row>
    <row r="297">
      <c r="A297" s="10" t="n"/>
      <c r="B297" s="3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</row>
    <row r="298">
      <c r="A298" s="10" t="n"/>
      <c r="B298" s="3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</row>
    <row r="299">
      <c r="A299" s="10" t="n"/>
      <c r="B299" s="3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</row>
    <row r="300">
      <c r="A300" s="10" t="n"/>
      <c r="B300" s="3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</row>
    <row r="301">
      <c r="A301" s="10" t="n"/>
      <c r="B301" s="3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</row>
    <row r="302">
      <c r="A302" s="10" t="n"/>
      <c r="B302" s="3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</row>
    <row r="303">
      <c r="A303" s="10" t="n"/>
      <c r="B303" s="3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</row>
    <row r="304">
      <c r="A304" s="10" t="n"/>
      <c r="B304" s="3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</row>
    <row r="305">
      <c r="A305" s="10" t="n"/>
      <c r="B305" s="3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</row>
    <row r="306">
      <c r="A306" s="10" t="n"/>
      <c r="B306" s="3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</row>
    <row r="307">
      <c r="A307" s="10" t="n"/>
      <c r="B307" s="3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</row>
    <row r="308">
      <c r="A308" s="10" t="n"/>
      <c r="B308" s="3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</row>
    <row r="309">
      <c r="A309" s="10" t="n"/>
      <c r="B309" s="3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</row>
    <row r="310">
      <c r="A310" s="10" t="n"/>
      <c r="B310" s="3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</row>
    <row r="311">
      <c r="A311" s="10" t="n"/>
      <c r="B311" s="3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</row>
    <row r="312">
      <c r="A312" s="10" t="n"/>
      <c r="B312" s="3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</row>
    <row r="313">
      <c r="A313" s="10" t="n"/>
      <c r="B313" s="3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</row>
    <row r="314">
      <c r="A314" s="10" t="n"/>
      <c r="B314" s="3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</row>
    <row r="315">
      <c r="A315" s="10" t="n"/>
      <c r="B315" s="3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</row>
    <row r="316">
      <c r="A316" s="10" t="n"/>
      <c r="B316" s="3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</row>
    <row r="317">
      <c r="A317" s="10" t="n"/>
      <c r="B317" s="3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</row>
    <row r="318">
      <c r="A318" s="10" t="n"/>
      <c r="B318" s="3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</row>
    <row r="319">
      <c r="A319" s="10" t="n"/>
      <c r="B319" s="3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</row>
    <row r="320">
      <c r="A320" s="10" t="n"/>
      <c r="B320" s="3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</row>
    <row r="321">
      <c r="A321" s="10" t="n"/>
      <c r="B321" s="3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</row>
    <row r="322">
      <c r="A322" s="10" t="n"/>
      <c r="B322" s="3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</row>
    <row r="323">
      <c r="A323" s="10" t="n"/>
      <c r="B323" s="3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</row>
    <row r="324">
      <c r="A324" s="10" t="n"/>
      <c r="B324" s="3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</row>
    <row r="325">
      <c r="A325" s="10" t="n"/>
      <c r="B325" s="3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</row>
    <row r="326">
      <c r="A326" s="10" t="n"/>
      <c r="B326" s="3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</row>
    <row r="327">
      <c r="A327" s="10" t="n"/>
      <c r="B327" s="3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</row>
    <row r="328">
      <c r="A328" s="10" t="n"/>
      <c r="B328" s="3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</row>
    <row r="329">
      <c r="A329" s="10" t="n"/>
      <c r="B329" s="3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</row>
    <row r="330">
      <c r="A330" s="10" t="n"/>
      <c r="B330" s="3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</row>
    <row r="331">
      <c r="A331" s="10" t="n"/>
      <c r="B331" s="3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</row>
    <row r="332">
      <c r="A332" s="10" t="n"/>
      <c r="B332" s="3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</row>
    <row r="333">
      <c r="A333" s="10" t="n"/>
      <c r="B333" s="3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</row>
    <row r="334">
      <c r="A334" s="10" t="n"/>
      <c r="B334" s="3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</row>
    <row r="335">
      <c r="A335" s="10" t="n"/>
      <c r="B335" s="3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</row>
    <row r="336">
      <c r="A336" s="10" t="n"/>
      <c r="B336" s="3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</row>
    <row r="337">
      <c r="A337" s="10" t="n"/>
      <c r="B337" s="3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</row>
    <row r="338">
      <c r="A338" s="10" t="n"/>
      <c r="B338" s="3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</row>
    <row r="339">
      <c r="A339" s="10" t="n"/>
      <c r="B339" s="3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</row>
    <row r="340">
      <c r="A340" s="10" t="n"/>
      <c r="B340" s="3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</row>
    <row r="341">
      <c r="A341" s="10" t="n"/>
      <c r="B341" s="3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</row>
    <row r="342">
      <c r="A342" s="10" t="n"/>
      <c r="B342" s="3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</row>
    <row r="343">
      <c r="A343" s="10" t="n"/>
      <c r="B343" s="3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</row>
    <row r="344">
      <c r="A344" s="10" t="n"/>
      <c r="B344" s="3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</row>
    <row r="345">
      <c r="A345" s="10" t="n"/>
      <c r="B345" s="3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</row>
    <row r="346">
      <c r="A346" s="10" t="n"/>
      <c r="B346" s="3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</row>
    <row r="347">
      <c r="A347" s="10" t="n"/>
      <c r="B347" s="3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</row>
    <row r="348">
      <c r="A348" s="10" t="n"/>
      <c r="B348" s="3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</row>
    <row r="349">
      <c r="A349" s="10" t="n"/>
      <c r="B349" s="3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</row>
    <row r="350">
      <c r="A350" s="10" t="n"/>
      <c r="B350" s="3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</row>
    <row r="351">
      <c r="A351" s="10" t="n"/>
      <c r="B351" s="3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</row>
    <row r="352">
      <c r="A352" s="10" t="n"/>
      <c r="B352" s="3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</row>
    <row r="353">
      <c r="A353" s="10" t="n"/>
      <c r="B353" s="3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</row>
    <row r="354">
      <c r="A354" s="10" t="n"/>
      <c r="B354" s="3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</row>
    <row r="355">
      <c r="A355" s="10" t="n"/>
      <c r="B355" s="3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</row>
    <row r="356">
      <c r="A356" s="10" t="n"/>
      <c r="B356" s="3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</row>
    <row r="357">
      <c r="A357" s="10" t="n"/>
      <c r="B357" s="3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</row>
    <row r="358">
      <c r="A358" s="10" t="n"/>
      <c r="B358" s="3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</row>
    <row r="359">
      <c r="A359" s="10" t="n"/>
      <c r="B359" s="3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</row>
    <row r="360">
      <c r="A360" s="10" t="n"/>
      <c r="B360" s="3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</row>
    <row r="361">
      <c r="A361" s="10" t="n"/>
      <c r="B361" s="3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</row>
    <row r="362">
      <c r="A362" s="10" t="n"/>
      <c r="B362" s="3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</row>
    <row r="363">
      <c r="A363" s="10" t="n"/>
      <c r="B363" s="3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</row>
    <row r="364">
      <c r="A364" s="10" t="n"/>
      <c r="B364" s="3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</row>
    <row r="365">
      <c r="A365" s="10" t="n"/>
      <c r="B365" s="3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</row>
    <row r="366">
      <c r="A366" s="10" t="n"/>
      <c r="B366" s="3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</row>
    <row r="367">
      <c r="A367" s="10" t="n"/>
      <c r="B367" s="3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</row>
    <row r="368">
      <c r="A368" s="10" t="n"/>
      <c r="B368" s="3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</row>
    <row r="369">
      <c r="A369" s="10" t="n"/>
      <c r="B369" s="3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</row>
    <row r="370">
      <c r="A370" s="10" t="n"/>
      <c r="B370" s="3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</row>
    <row r="371">
      <c r="A371" s="10" t="n"/>
      <c r="B371" s="3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</row>
    <row r="372">
      <c r="A372" s="10" t="n"/>
      <c r="B372" s="3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</row>
    <row r="373">
      <c r="A373" s="10" t="n"/>
      <c r="B373" s="3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</row>
    <row r="374">
      <c r="A374" s="10" t="n"/>
      <c r="B374" s="3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</row>
    <row r="375">
      <c r="A375" s="10" t="n"/>
      <c r="B375" s="3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</row>
    <row r="376">
      <c r="A376" s="10" t="n"/>
      <c r="B376" s="3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</row>
    <row r="377">
      <c r="A377" s="10" t="n"/>
      <c r="B377" s="3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</row>
    <row r="378">
      <c r="A378" s="10" t="n"/>
      <c r="B378" s="3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</row>
    <row r="379">
      <c r="A379" s="10" t="n"/>
      <c r="B379" s="3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</row>
    <row r="380">
      <c r="A380" s="10" t="n"/>
      <c r="B380" s="3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</row>
    <row r="381">
      <c r="A381" s="10" t="n"/>
      <c r="B381" s="3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</row>
    <row r="382">
      <c r="A382" s="10" t="n"/>
      <c r="B382" s="3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</row>
    <row r="383">
      <c r="A383" s="10" t="n"/>
      <c r="B383" s="3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</row>
    <row r="384">
      <c r="A384" s="10" t="n"/>
      <c r="B384" s="3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</row>
    <row r="385">
      <c r="A385" s="10" t="n"/>
      <c r="B385" s="3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</row>
    <row r="386">
      <c r="A386" s="10" t="n"/>
      <c r="B386" s="3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</row>
    <row r="387">
      <c r="A387" s="10" t="n"/>
      <c r="B387" s="3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</row>
    <row r="388">
      <c r="A388" s="10" t="n"/>
      <c r="B388" s="3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</row>
    <row r="389">
      <c r="A389" s="10" t="n"/>
      <c r="B389" s="3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</row>
    <row r="390">
      <c r="A390" s="10" t="n"/>
      <c r="B390" s="3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</row>
    <row r="391">
      <c r="A391" s="10" t="n"/>
      <c r="B391" s="3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</row>
    <row r="392">
      <c r="A392" s="10" t="n"/>
      <c r="B392" s="3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</row>
    <row r="393">
      <c r="A393" s="10" t="n"/>
      <c r="B393" s="3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</row>
    <row r="394">
      <c r="A394" s="10" t="n"/>
      <c r="B394" s="3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</row>
    <row r="395">
      <c r="A395" s="10" t="n"/>
      <c r="B395" s="3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</row>
    <row r="396">
      <c r="A396" s="10" t="n"/>
      <c r="B396" s="3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</row>
    <row r="397">
      <c r="A397" s="10" t="n"/>
      <c r="B397" s="3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</row>
    <row r="398">
      <c r="A398" s="10" t="n"/>
      <c r="B398" s="3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</row>
    <row r="399">
      <c r="A399" s="10" t="n"/>
      <c r="B399" s="3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</row>
    <row r="400">
      <c r="A400" s="10" t="n"/>
      <c r="B400" s="3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</row>
    <row r="401">
      <c r="A401" s="10" t="n"/>
      <c r="B401" s="3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</row>
    <row r="402">
      <c r="A402" s="10" t="n"/>
      <c r="B402" s="3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</row>
    <row r="403">
      <c r="A403" s="10" t="n"/>
      <c r="B403" s="3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</row>
    <row r="404">
      <c r="A404" s="10" t="n"/>
      <c r="B404" s="3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</row>
    <row r="405">
      <c r="A405" s="10" t="n"/>
      <c r="B405" s="3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</row>
    <row r="406">
      <c r="A406" s="10" t="n"/>
      <c r="B406" s="3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</row>
    <row r="407">
      <c r="A407" s="10" t="n"/>
      <c r="B407" s="3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</row>
    <row r="408">
      <c r="A408" s="10" t="n"/>
      <c r="B408" s="3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</row>
    <row r="409">
      <c r="A409" s="10" t="n"/>
      <c r="B409" s="3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</row>
    <row r="410">
      <c r="A410" s="10" t="n"/>
      <c r="B410" s="3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</row>
    <row r="411">
      <c r="A411" s="10" t="n"/>
      <c r="B411" s="3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</row>
    <row r="412">
      <c r="A412" s="10" t="n"/>
      <c r="B412" s="3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</row>
    <row r="413">
      <c r="A413" s="10" t="n"/>
      <c r="B413" s="3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</row>
    <row r="414">
      <c r="A414" s="10" t="n"/>
      <c r="B414" s="3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</row>
    <row r="415">
      <c r="A415" s="10" t="n"/>
      <c r="B415" s="3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</row>
    <row r="416">
      <c r="A416" s="10" t="n"/>
      <c r="B416" s="3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</row>
    <row r="417">
      <c r="A417" s="10" t="n"/>
      <c r="B417" s="3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</row>
    <row r="418">
      <c r="A418" s="10" t="n"/>
      <c r="B418" s="3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</row>
    <row r="419">
      <c r="A419" s="10" t="n"/>
      <c r="B419" s="3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</row>
    <row r="420">
      <c r="A420" s="10" t="n"/>
      <c r="B420" s="3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</row>
    <row r="421">
      <c r="A421" s="10" t="n"/>
      <c r="B421" s="3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</row>
    <row r="422">
      <c r="A422" s="10" t="n"/>
      <c r="B422" s="3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</row>
    <row r="423">
      <c r="A423" s="10" t="n"/>
      <c r="B423" s="3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</row>
    <row r="424">
      <c r="A424" s="10" t="n"/>
      <c r="B424" s="3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</row>
    <row r="425">
      <c r="A425" s="10" t="n"/>
      <c r="B425" s="3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</row>
    <row r="426">
      <c r="A426" s="10" t="n"/>
      <c r="B426" s="3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</row>
    <row r="427">
      <c r="A427" s="10" t="n"/>
      <c r="B427" s="3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</row>
    <row r="428">
      <c r="A428" s="10" t="n"/>
      <c r="B428" s="3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</row>
    <row r="429">
      <c r="A429" s="10" t="n"/>
      <c r="B429" s="3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</row>
    <row r="430">
      <c r="A430" s="10" t="n"/>
      <c r="B430" s="3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</row>
    <row r="431">
      <c r="A431" s="10" t="n"/>
      <c r="B431" s="3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</row>
    <row r="432">
      <c r="A432" s="10" t="n"/>
      <c r="B432" s="3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</row>
    <row r="433">
      <c r="A433" s="10" t="n"/>
      <c r="B433" s="3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</row>
    <row r="434">
      <c r="A434" s="10" t="n"/>
      <c r="B434" s="3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</row>
    <row r="435">
      <c r="A435" s="10" t="n"/>
      <c r="B435" s="3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</row>
    <row r="436">
      <c r="A436" s="10" t="n"/>
      <c r="B436" s="3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</row>
    <row r="437">
      <c r="A437" s="10" t="n"/>
      <c r="B437" s="3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</row>
    <row r="438">
      <c r="A438" s="10" t="n"/>
      <c r="B438" s="3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</row>
    <row r="439">
      <c r="A439" s="10" t="n"/>
      <c r="B439" s="3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</row>
    <row r="440">
      <c r="A440" s="10" t="n"/>
      <c r="B440" s="3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</row>
    <row r="441">
      <c r="A441" s="10" t="n"/>
      <c r="B441" s="3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</row>
    <row r="442">
      <c r="A442" s="10" t="n"/>
      <c r="B442" s="3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</row>
    <row r="443">
      <c r="A443" s="10" t="n"/>
      <c r="B443" s="3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</row>
    <row r="444">
      <c r="A444" s="10" t="n"/>
      <c r="B444" s="3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</row>
    <row r="445">
      <c r="A445" s="10" t="n"/>
      <c r="B445" s="3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</row>
    <row r="446">
      <c r="A446" s="10" t="n"/>
      <c r="B446" s="3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</row>
    <row r="447">
      <c r="A447" s="10" t="n"/>
      <c r="B447" s="3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</row>
    <row r="448">
      <c r="A448" s="10" t="n"/>
      <c r="B448" s="3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</row>
    <row r="449">
      <c r="A449" s="10" t="n"/>
      <c r="B449" s="3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</row>
    <row r="450">
      <c r="A450" s="10" t="n"/>
      <c r="B450" s="3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</row>
    <row r="451">
      <c r="A451" s="10" t="n"/>
      <c r="B451" s="3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</row>
    <row r="452">
      <c r="A452" s="10" t="n"/>
      <c r="B452" s="3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</row>
    <row r="453">
      <c r="A453" s="10" t="n"/>
      <c r="B453" s="3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</row>
    <row r="454">
      <c r="A454" s="10" t="n"/>
      <c r="B454" s="3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</row>
    <row r="455">
      <c r="A455" s="10" t="n"/>
      <c r="B455" s="3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</row>
    <row r="456">
      <c r="A456" s="10" t="n"/>
      <c r="B456" s="3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</row>
    <row r="457">
      <c r="A457" s="10" t="n"/>
      <c r="B457" s="3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</row>
    <row r="458">
      <c r="A458" s="10" t="n"/>
      <c r="B458" s="3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</row>
    <row r="459">
      <c r="A459" s="10" t="n"/>
      <c r="B459" s="3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</row>
    <row r="460">
      <c r="A460" s="10" t="n"/>
      <c r="B460" s="3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</row>
    <row r="461">
      <c r="A461" s="10" t="n"/>
      <c r="B461" s="3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</row>
    <row r="462">
      <c r="A462" s="10" t="n"/>
      <c r="B462" s="3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</row>
    <row r="463">
      <c r="A463" s="10" t="n"/>
      <c r="B463" s="3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</row>
    <row r="464">
      <c r="A464" s="10" t="n"/>
      <c r="B464" s="3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</row>
    <row r="465">
      <c r="A465" s="10" t="n"/>
      <c r="B465" s="3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</row>
    <row r="466">
      <c r="A466" s="10" t="n"/>
      <c r="B466" s="3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</row>
    <row r="467">
      <c r="A467" s="10" t="n"/>
      <c r="B467" s="3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</row>
    <row r="468">
      <c r="A468" s="10" t="n"/>
      <c r="B468" s="3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</row>
    <row r="469">
      <c r="A469" s="10" t="n"/>
      <c r="B469" s="3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</row>
    <row r="470">
      <c r="A470" s="10" t="n"/>
      <c r="B470" s="3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</row>
    <row r="471">
      <c r="A471" s="10" t="n"/>
      <c r="B471" s="3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</row>
    <row r="472">
      <c r="A472" s="10" t="n"/>
      <c r="B472" s="3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</row>
    <row r="473">
      <c r="A473" s="10" t="n"/>
      <c r="B473" s="3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</row>
    <row r="474">
      <c r="A474" s="10" t="n"/>
      <c r="B474" s="3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</row>
    <row r="475">
      <c r="A475" s="10" t="n"/>
      <c r="B475" s="3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</row>
    <row r="476">
      <c r="A476" s="10" t="n"/>
      <c r="B476" s="3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</row>
    <row r="477">
      <c r="A477" s="10" t="n"/>
      <c r="B477" s="3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</row>
    <row r="478">
      <c r="A478" s="10" t="n"/>
      <c r="B478" s="3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</row>
    <row r="479">
      <c r="A479" s="10" t="n"/>
      <c r="B479" s="3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</row>
    <row r="480">
      <c r="A480" s="10" t="n"/>
      <c r="B480" s="3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</row>
    <row r="481">
      <c r="A481" s="10" t="n"/>
      <c r="B481" s="3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</row>
    <row r="482">
      <c r="A482" s="10" t="n"/>
      <c r="B482" s="3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</row>
    <row r="483">
      <c r="A483" s="10" t="n"/>
      <c r="B483" s="3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</row>
    <row r="484">
      <c r="A484" s="10" t="n"/>
      <c r="B484" s="3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</row>
    <row r="485">
      <c r="A485" s="10" t="n"/>
      <c r="B485" s="3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</row>
    <row r="486">
      <c r="A486" s="10" t="n"/>
      <c r="B486" s="3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</row>
    <row r="487">
      <c r="A487" s="10" t="n"/>
      <c r="B487" s="3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</row>
    <row r="488">
      <c r="A488" s="10" t="n"/>
      <c r="B488" s="3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</row>
    <row r="489">
      <c r="A489" s="10" t="n"/>
      <c r="B489" s="3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</row>
    <row r="490">
      <c r="A490" s="10" t="n"/>
      <c r="B490" s="3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</row>
    <row r="491">
      <c r="A491" s="10" t="n"/>
      <c r="B491" s="3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</row>
    <row r="492">
      <c r="A492" s="10" t="n"/>
      <c r="B492" s="3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</row>
    <row r="493">
      <c r="A493" s="10" t="n"/>
      <c r="B493" s="3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</row>
    <row r="494">
      <c r="A494" s="10" t="n"/>
      <c r="B494" s="3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</row>
    <row r="495">
      <c r="A495" s="10" t="n"/>
      <c r="B495" s="3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</row>
    <row r="496">
      <c r="A496" s="10" t="n"/>
      <c r="B496" s="3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</row>
    <row r="497">
      <c r="A497" s="10" t="n"/>
      <c r="B497" s="3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</row>
    <row r="498">
      <c r="A498" s="10" t="n"/>
      <c r="B498" s="3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</row>
    <row r="499">
      <c r="A499" s="10" t="n"/>
      <c r="B499" s="3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</row>
    <row r="500">
      <c r="A500" s="10" t="n"/>
      <c r="B500" s="3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</row>
    <row r="501">
      <c r="A501" s="10" t="n"/>
      <c r="B501" s="3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</row>
    <row r="502">
      <c r="A502" s="10" t="n"/>
      <c r="B502" s="3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</row>
    <row r="503">
      <c r="A503" s="10" t="n"/>
      <c r="B503" s="3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</row>
    <row r="504">
      <c r="A504" s="10" t="n"/>
      <c r="B504" s="3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</row>
    <row r="505">
      <c r="A505" s="10" t="n"/>
      <c r="B505" s="3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</row>
    <row r="506">
      <c r="A506" s="10" t="n"/>
      <c r="B506" s="3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</row>
    <row r="507">
      <c r="A507" s="10" t="n"/>
      <c r="B507" s="3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</row>
    <row r="508">
      <c r="A508" s="10" t="n"/>
      <c r="B508" s="3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</row>
    <row r="509">
      <c r="A509" s="10" t="n"/>
      <c r="B509" s="3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</row>
    <row r="510">
      <c r="A510" s="10" t="n"/>
      <c r="B510" s="3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</row>
    <row r="511">
      <c r="A511" s="10" t="n"/>
      <c r="B511" s="3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</row>
    <row r="512">
      <c r="A512" s="10" t="n"/>
      <c r="B512" s="3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</row>
    <row r="513">
      <c r="A513" s="10" t="n"/>
      <c r="B513" s="3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</row>
    <row r="514">
      <c r="A514" s="10" t="n"/>
      <c r="B514" s="3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</row>
    <row r="515">
      <c r="A515" s="10" t="n"/>
      <c r="B515" s="3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</row>
    <row r="516">
      <c r="A516" s="10" t="n"/>
      <c r="B516" s="3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</row>
    <row r="517">
      <c r="A517" s="10" t="n"/>
      <c r="B517" s="3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</row>
    <row r="518">
      <c r="A518" s="10" t="n"/>
      <c r="B518" s="3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</row>
    <row r="519">
      <c r="A519" s="10" t="n"/>
      <c r="B519" s="3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</row>
    <row r="520">
      <c r="A520" s="10" t="n"/>
      <c r="B520" s="3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</row>
    <row r="521">
      <c r="A521" s="10" t="n"/>
      <c r="B521" s="3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</row>
    <row r="522">
      <c r="A522" s="10" t="n"/>
      <c r="B522" s="3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</row>
    <row r="523">
      <c r="A523" s="10" t="n"/>
      <c r="B523" s="3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</row>
    <row r="524">
      <c r="A524" s="10" t="n"/>
      <c r="B524" s="3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</row>
    <row r="525">
      <c r="A525" s="10" t="n"/>
      <c r="B525" s="3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</row>
    <row r="526">
      <c r="A526" s="10" t="n"/>
      <c r="B526" s="3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</row>
    <row r="527">
      <c r="A527" s="10" t="n"/>
      <c r="B527" s="3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</row>
    <row r="528">
      <c r="A528" s="10" t="n"/>
      <c r="B528" s="3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</row>
    <row r="529">
      <c r="A529" s="10" t="n"/>
      <c r="B529" s="3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</row>
    <row r="530">
      <c r="A530" s="10" t="n"/>
      <c r="B530" s="3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</row>
    <row r="531">
      <c r="A531" s="10" t="n"/>
      <c r="B531" s="3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</row>
    <row r="532">
      <c r="A532" s="10" t="n"/>
      <c r="B532" s="3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</row>
    <row r="533">
      <c r="A533" s="10" t="n"/>
      <c r="B533" s="3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</row>
    <row r="534">
      <c r="A534" s="10" t="n"/>
      <c r="B534" s="3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</row>
    <row r="535">
      <c r="A535" s="10" t="n"/>
      <c r="B535" s="3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</row>
    <row r="536">
      <c r="A536" s="10" t="n"/>
      <c r="B536" s="3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</row>
    <row r="537">
      <c r="A537" s="10" t="n"/>
      <c r="B537" s="3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</row>
    <row r="538">
      <c r="A538" s="10" t="n"/>
      <c r="B538" s="3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</row>
    <row r="539">
      <c r="A539" s="10" t="n"/>
      <c r="B539" s="3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</row>
    <row r="540">
      <c r="A540" s="10" t="n"/>
      <c r="B540" s="3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</row>
    <row r="541">
      <c r="A541" s="10" t="n"/>
      <c r="B541" s="3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</row>
    <row r="542">
      <c r="A542" s="10" t="n"/>
      <c r="B542" s="3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</row>
    <row r="543">
      <c r="A543" s="10" t="n"/>
      <c r="B543" s="3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</row>
    <row r="544">
      <c r="A544" s="10" t="n"/>
      <c r="B544" s="3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</row>
    <row r="545">
      <c r="A545" s="10" t="n"/>
      <c r="B545" s="3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</row>
    <row r="546">
      <c r="A546" s="10" t="n"/>
      <c r="B546" s="3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</row>
    <row r="547">
      <c r="A547" s="10" t="n"/>
      <c r="B547" s="3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</row>
    <row r="548">
      <c r="A548" s="10" t="n"/>
      <c r="B548" s="3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</row>
    <row r="549">
      <c r="A549" s="10" t="n"/>
      <c r="B549" s="3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</row>
    <row r="550">
      <c r="A550" s="10" t="n"/>
      <c r="B550" s="3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</row>
    <row r="551">
      <c r="A551" s="10" t="n"/>
      <c r="B551" s="3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</row>
    <row r="552">
      <c r="A552" s="10" t="n"/>
      <c r="B552" s="3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</row>
    <row r="553">
      <c r="A553" s="10" t="n"/>
      <c r="B553" s="3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</row>
    <row r="554">
      <c r="A554" s="10" t="n"/>
      <c r="B554" s="3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</row>
    <row r="555">
      <c r="A555" s="10" t="n"/>
      <c r="B555" s="3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</row>
    <row r="556">
      <c r="A556" s="10" t="n"/>
      <c r="B556" s="3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</row>
    <row r="557">
      <c r="A557" s="10" t="n"/>
      <c r="B557" s="3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</row>
    <row r="558">
      <c r="A558" s="10" t="n"/>
      <c r="B558" s="3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</row>
    <row r="559">
      <c r="A559" s="10" t="n"/>
      <c r="B559" s="3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</row>
    <row r="560">
      <c r="A560" s="10" t="n"/>
      <c r="B560" s="3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</row>
    <row r="561">
      <c r="A561" s="10" t="n"/>
      <c r="B561" s="3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</row>
    <row r="562">
      <c r="A562" s="10" t="n"/>
      <c r="B562" s="3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</row>
    <row r="563">
      <c r="A563" s="10" t="n"/>
      <c r="B563" s="3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</row>
    <row r="564">
      <c r="A564" s="10" t="n"/>
      <c r="B564" s="3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</row>
    <row r="565">
      <c r="A565" s="10" t="n"/>
      <c r="B565" s="3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</row>
    <row r="566">
      <c r="A566" s="10" t="n"/>
      <c r="B566" s="3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</row>
    <row r="567">
      <c r="A567" s="10" t="n"/>
      <c r="B567" s="3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</row>
    <row r="568">
      <c r="A568" s="10" t="n"/>
      <c r="B568" s="3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</row>
    <row r="569">
      <c r="A569" s="10" t="n"/>
      <c r="B569" s="3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</row>
    <row r="570">
      <c r="A570" s="10" t="n"/>
      <c r="B570" s="3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</row>
    <row r="571">
      <c r="A571" s="10" t="n"/>
      <c r="B571" s="3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</row>
    <row r="572">
      <c r="A572" s="10" t="n"/>
      <c r="B572" s="3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</row>
    <row r="573">
      <c r="A573" s="10" t="n"/>
      <c r="B573" s="3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</row>
    <row r="574">
      <c r="A574" s="10" t="n"/>
      <c r="B574" s="3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</row>
    <row r="575">
      <c r="A575" s="10" t="n"/>
      <c r="B575" s="3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</row>
    <row r="576">
      <c r="A576" s="10" t="n"/>
      <c r="B576" s="3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</row>
    <row r="577">
      <c r="A577" s="10" t="n"/>
      <c r="B577" s="3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</row>
    <row r="578">
      <c r="A578" s="10" t="n"/>
      <c r="B578" s="3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</row>
    <row r="579">
      <c r="A579" s="10" t="n"/>
      <c r="B579" s="3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</row>
    <row r="580">
      <c r="A580" s="10" t="n"/>
      <c r="B580" s="3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</row>
    <row r="581">
      <c r="A581" s="10" t="n"/>
      <c r="B581" s="3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</row>
    <row r="582">
      <c r="A582" s="10" t="n"/>
      <c r="B582" s="3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</row>
    <row r="583">
      <c r="A583" s="10" t="n"/>
      <c r="B583" s="3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</row>
    <row r="584">
      <c r="A584" s="10" t="n"/>
      <c r="B584" s="3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</row>
    <row r="585">
      <c r="A585" s="10" t="n"/>
      <c r="B585" s="3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</row>
    <row r="586">
      <c r="A586" s="10" t="n"/>
      <c r="B586" s="3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</row>
    <row r="587">
      <c r="A587" s="10" t="n"/>
      <c r="B587" s="3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</row>
    <row r="588">
      <c r="A588" s="10" t="n"/>
      <c r="B588" s="3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</row>
    <row r="589">
      <c r="A589" s="10" t="n"/>
      <c r="B589" s="3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</row>
    <row r="590">
      <c r="A590" s="10" t="n"/>
      <c r="B590" s="3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</row>
    <row r="591">
      <c r="A591" s="10" t="n"/>
      <c r="B591" s="3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</row>
    <row r="592">
      <c r="A592" s="10" t="n"/>
      <c r="B592" s="3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</row>
    <row r="593">
      <c r="A593" s="10" t="n"/>
      <c r="B593" s="3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</row>
    <row r="594">
      <c r="A594" s="10" t="n"/>
      <c r="B594" s="3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</row>
    <row r="595">
      <c r="A595" s="10" t="n"/>
      <c r="B595" s="3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</row>
    <row r="596">
      <c r="A596" s="10" t="n"/>
      <c r="B596" s="3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</row>
    <row r="597">
      <c r="A597" s="10" t="n"/>
      <c r="B597" s="3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</row>
    <row r="598">
      <c r="A598" s="10" t="n"/>
      <c r="B598" s="3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</row>
    <row r="599">
      <c r="A599" s="10" t="n"/>
      <c r="B599" s="3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</row>
    <row r="600">
      <c r="A600" s="10" t="n"/>
      <c r="B600" s="3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</row>
    <row r="601">
      <c r="A601" s="10" t="n"/>
      <c r="B601" s="3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</row>
    <row r="602">
      <c r="A602" s="10" t="n"/>
      <c r="B602" s="3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</row>
    <row r="603">
      <c r="A603" s="10" t="n"/>
      <c r="B603" s="3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</row>
    <row r="604">
      <c r="A604" s="10" t="n"/>
      <c r="B604" s="3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</row>
    <row r="605">
      <c r="A605" s="10" t="n"/>
      <c r="B605" s="3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</row>
    <row r="606">
      <c r="A606" s="10" t="n"/>
      <c r="B606" s="3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</row>
    <row r="607">
      <c r="A607" s="10" t="n"/>
      <c r="B607" s="3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</row>
    <row r="608">
      <c r="A608" s="10" t="n"/>
      <c r="B608" s="3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</row>
    <row r="609">
      <c r="A609" s="10" t="n"/>
      <c r="B609" s="3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</row>
    <row r="610">
      <c r="A610" s="10" t="n"/>
      <c r="B610" s="3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</row>
    <row r="611">
      <c r="A611" s="10" t="n"/>
      <c r="B611" s="3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</row>
    <row r="612">
      <c r="A612" s="10" t="n"/>
      <c r="B612" s="3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</row>
    <row r="613">
      <c r="A613" s="10" t="n"/>
      <c r="B613" s="3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</row>
    <row r="614">
      <c r="A614" s="10" t="n"/>
      <c r="B614" s="3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</row>
    <row r="615">
      <c r="A615" s="10" t="n"/>
      <c r="B615" s="3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</row>
    <row r="616">
      <c r="A616" s="10" t="n"/>
      <c r="B616" s="3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</row>
    <row r="617">
      <c r="A617" s="10" t="n"/>
      <c r="B617" s="3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</row>
    <row r="618">
      <c r="A618" s="10" t="n"/>
      <c r="B618" s="3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</row>
    <row r="619">
      <c r="A619" s="10" t="n"/>
      <c r="B619" s="3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</row>
    <row r="620">
      <c r="A620" s="10" t="n"/>
      <c r="B620" s="3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</row>
    <row r="621">
      <c r="A621" s="10" t="n"/>
      <c r="B621" s="3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</row>
    <row r="622">
      <c r="A622" s="10" t="n"/>
      <c r="B622" s="3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</row>
    <row r="623">
      <c r="A623" s="10" t="n"/>
      <c r="B623" s="3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</row>
    <row r="624">
      <c r="A624" s="10" t="n"/>
      <c r="B624" s="3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</row>
    <row r="625">
      <c r="A625" s="10" t="n"/>
      <c r="B625" s="3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</row>
    <row r="626">
      <c r="A626" s="10" t="n"/>
      <c r="B626" s="3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</row>
    <row r="627">
      <c r="A627" s="10" t="n"/>
      <c r="B627" s="3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</row>
    <row r="628">
      <c r="A628" s="10" t="n"/>
      <c r="B628" s="3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</row>
    <row r="629">
      <c r="A629" s="10" t="n"/>
      <c r="B629" s="3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</row>
    <row r="630">
      <c r="A630" s="10" t="n"/>
      <c r="B630" s="3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</row>
    <row r="631">
      <c r="A631" s="10" t="n"/>
      <c r="B631" s="3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</row>
    <row r="632">
      <c r="A632" s="10" t="n"/>
      <c r="B632" s="3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</row>
    <row r="633">
      <c r="A633" s="10" t="n"/>
      <c r="B633" s="3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</row>
    <row r="634">
      <c r="A634" s="10" t="n"/>
      <c r="B634" s="3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</row>
    <row r="635">
      <c r="A635" s="10" t="n"/>
      <c r="B635" s="3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</row>
    <row r="636">
      <c r="A636" s="10" t="n"/>
      <c r="B636" s="3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</row>
    <row r="637">
      <c r="A637" s="10" t="n"/>
      <c r="B637" s="3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</row>
    <row r="638">
      <c r="A638" s="10" t="n"/>
      <c r="B638" s="3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</row>
    <row r="639">
      <c r="A639" s="10" t="n"/>
      <c r="B639" s="3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</row>
    <row r="640">
      <c r="A640" s="10" t="n"/>
      <c r="B640" s="3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</row>
    <row r="641">
      <c r="A641" s="10" t="n"/>
      <c r="B641" s="3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</row>
    <row r="642">
      <c r="A642" s="10" t="n"/>
      <c r="B642" s="3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</row>
    <row r="643">
      <c r="A643" s="10" t="n"/>
      <c r="B643" s="3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</row>
    <row r="644">
      <c r="A644" s="10" t="n"/>
      <c r="B644" s="3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</row>
    <row r="645">
      <c r="A645" s="10" t="n"/>
      <c r="B645" s="3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</row>
    <row r="646">
      <c r="A646" s="10" t="n"/>
      <c r="B646" s="3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</row>
    <row r="647">
      <c r="A647" s="10" t="n"/>
      <c r="B647" s="3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</row>
    <row r="648">
      <c r="A648" s="10" t="n"/>
      <c r="B648" s="3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</row>
    <row r="649">
      <c r="A649" s="10" t="n"/>
      <c r="B649" s="3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</row>
    <row r="650">
      <c r="A650" s="10" t="n"/>
      <c r="B650" s="3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</row>
    <row r="651">
      <c r="A651" s="10" t="n"/>
      <c r="B651" s="3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</row>
    <row r="652">
      <c r="A652" s="10" t="n"/>
      <c r="B652" s="3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</row>
    <row r="653">
      <c r="A653" s="10" t="n"/>
      <c r="B653" s="3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</row>
    <row r="654">
      <c r="A654" s="10" t="n"/>
      <c r="B654" s="3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</row>
    <row r="655">
      <c r="A655" s="10" t="n"/>
      <c r="B655" s="3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</row>
    <row r="656">
      <c r="A656" s="10" t="n"/>
      <c r="B656" s="3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</row>
    <row r="657">
      <c r="A657" s="10" t="n"/>
      <c r="B657" s="3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</row>
    <row r="658">
      <c r="A658" s="10" t="n"/>
      <c r="B658" s="3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</row>
    <row r="659">
      <c r="A659" s="10" t="n"/>
      <c r="B659" s="3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</row>
    <row r="660">
      <c r="A660" s="10" t="n"/>
      <c r="B660" s="3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</row>
    <row r="661">
      <c r="A661" s="10" t="n"/>
      <c r="B661" s="3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</row>
    <row r="662">
      <c r="A662" s="10" t="n"/>
      <c r="B662" s="3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</row>
    <row r="663">
      <c r="A663" s="10" t="n"/>
      <c r="B663" s="3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</row>
    <row r="664">
      <c r="A664" s="10" t="n"/>
      <c r="B664" s="3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</row>
    <row r="665">
      <c r="A665" s="10" t="n"/>
      <c r="B665" s="3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</row>
    <row r="666">
      <c r="A666" s="10" t="n"/>
      <c r="B666" s="3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</row>
    <row r="667">
      <c r="A667" s="10" t="n"/>
      <c r="B667" s="3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</row>
    <row r="668">
      <c r="A668" s="10" t="n"/>
      <c r="B668" s="3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</row>
    <row r="669">
      <c r="A669" s="10" t="n"/>
      <c r="B669" s="3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</row>
    <row r="670">
      <c r="A670" s="10" t="n"/>
      <c r="B670" s="3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</row>
    <row r="671">
      <c r="A671" s="10" t="n"/>
      <c r="B671" s="3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</row>
    <row r="672">
      <c r="A672" s="10" t="n"/>
      <c r="B672" s="3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</row>
    <row r="673">
      <c r="A673" s="10" t="n"/>
      <c r="B673" s="3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</row>
    <row r="674">
      <c r="A674" s="10" t="n"/>
      <c r="B674" s="3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</row>
    <row r="675">
      <c r="A675" s="10" t="n"/>
      <c r="B675" s="3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</row>
    <row r="676">
      <c r="A676" s="10" t="n"/>
      <c r="B676" s="3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</row>
    <row r="677">
      <c r="A677" s="10" t="n"/>
      <c r="B677" s="3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</row>
    <row r="678">
      <c r="A678" s="10" t="n"/>
      <c r="B678" s="3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</row>
    <row r="679">
      <c r="A679" s="10" t="n"/>
      <c r="B679" s="3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</row>
    <row r="680">
      <c r="A680" s="10" t="n"/>
      <c r="B680" s="3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</row>
    <row r="681">
      <c r="A681" s="10" t="n"/>
      <c r="B681" s="3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</row>
    <row r="682">
      <c r="A682" s="10" t="n"/>
      <c r="B682" s="3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</row>
    <row r="683">
      <c r="A683" s="10" t="n"/>
      <c r="B683" s="3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</row>
    <row r="684">
      <c r="A684" s="10" t="n"/>
      <c r="B684" s="3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</row>
    <row r="685">
      <c r="A685" s="10" t="n"/>
      <c r="B685" s="3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</row>
    <row r="686">
      <c r="A686" s="10" t="n"/>
      <c r="B686" s="3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</row>
    <row r="687">
      <c r="A687" s="10" t="n"/>
      <c r="B687" s="3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</row>
    <row r="688">
      <c r="A688" s="10" t="n"/>
      <c r="B688" s="3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</row>
    <row r="689">
      <c r="A689" s="10" t="n"/>
      <c r="B689" s="3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</row>
    <row r="690">
      <c r="A690" s="10" t="n"/>
      <c r="B690" s="3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</row>
    <row r="691">
      <c r="A691" s="10" t="n"/>
      <c r="B691" s="3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</row>
    <row r="692">
      <c r="A692" s="10" t="n"/>
      <c r="B692" s="3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</row>
    <row r="693">
      <c r="A693" s="10" t="n"/>
      <c r="B693" s="3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</row>
    <row r="694">
      <c r="A694" s="10" t="n"/>
      <c r="B694" s="3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</row>
    <row r="695">
      <c r="A695" s="10" t="n"/>
      <c r="B695" s="3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</row>
    <row r="696">
      <c r="A696" s="10" t="n"/>
      <c r="B696" s="3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</row>
    <row r="697">
      <c r="A697" s="10" t="n"/>
      <c r="B697" s="3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</row>
    <row r="698">
      <c r="A698" s="10" t="n"/>
      <c r="B698" s="3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</row>
    <row r="699">
      <c r="A699" s="10" t="n"/>
      <c r="B699" s="3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</row>
    <row r="700">
      <c r="A700" s="10" t="n"/>
      <c r="B700" s="3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</row>
    <row r="701">
      <c r="A701" s="10" t="n"/>
      <c r="B701" s="3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</row>
    <row r="702">
      <c r="A702" s="10" t="n"/>
      <c r="B702" s="3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</row>
    <row r="703">
      <c r="A703" s="10" t="n"/>
      <c r="B703" s="3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</row>
    <row r="704">
      <c r="A704" s="10" t="n"/>
      <c r="B704" s="3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</row>
    <row r="705">
      <c r="A705" s="10" t="n"/>
      <c r="B705" s="3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</row>
    <row r="706">
      <c r="A706" s="10" t="n"/>
      <c r="B706" s="3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</row>
    <row r="707">
      <c r="A707" s="10" t="n"/>
      <c r="B707" s="3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</row>
    <row r="708">
      <c r="A708" s="10" t="n"/>
      <c r="B708" s="3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</row>
    <row r="709">
      <c r="A709" s="10" t="n"/>
      <c r="B709" s="3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</row>
    <row r="710">
      <c r="A710" s="10" t="n"/>
      <c r="B710" s="3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</row>
    <row r="711">
      <c r="A711" s="10" t="n"/>
      <c r="B711" s="3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</row>
    <row r="712">
      <c r="A712" s="10" t="n"/>
      <c r="B712" s="3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</row>
    <row r="713">
      <c r="A713" s="10" t="n"/>
      <c r="B713" s="3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</row>
    <row r="714">
      <c r="A714" s="10" t="n"/>
      <c r="B714" s="3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</row>
    <row r="715">
      <c r="A715" s="10" t="n"/>
      <c r="B715" s="3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</row>
    <row r="716">
      <c r="A716" s="10" t="n"/>
      <c r="B716" s="3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</row>
    <row r="717">
      <c r="A717" s="10" t="n"/>
      <c r="B717" s="3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</row>
    <row r="718">
      <c r="A718" s="10" t="n"/>
      <c r="B718" s="3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</row>
    <row r="719">
      <c r="A719" s="10" t="n"/>
      <c r="B719" s="3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</row>
    <row r="720">
      <c r="A720" s="10" t="n"/>
      <c r="B720" s="3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</row>
    <row r="721">
      <c r="A721" s="10" t="n"/>
      <c r="B721" s="3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</row>
    <row r="722">
      <c r="A722" s="10" t="n"/>
      <c r="B722" s="3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</row>
    <row r="723">
      <c r="A723" s="10" t="n"/>
      <c r="B723" s="3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</row>
    <row r="724">
      <c r="A724" s="10" t="n"/>
      <c r="B724" s="3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</row>
    <row r="725">
      <c r="A725" s="10" t="n"/>
      <c r="B725" s="3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</row>
    <row r="726">
      <c r="A726" s="10" t="n"/>
      <c r="B726" s="3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</row>
    <row r="727">
      <c r="A727" s="10" t="n"/>
      <c r="B727" s="3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</row>
    <row r="728">
      <c r="A728" s="10" t="n"/>
      <c r="B728" s="3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</row>
    <row r="729">
      <c r="A729" s="10" t="n"/>
      <c r="B729" s="3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</row>
    <row r="730">
      <c r="A730" s="10" t="n"/>
      <c r="B730" s="3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</row>
    <row r="731">
      <c r="A731" s="10" t="n"/>
      <c r="B731" s="3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</row>
    <row r="732">
      <c r="A732" s="10" t="n"/>
      <c r="B732" s="3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</row>
    <row r="733">
      <c r="A733" s="10" t="n"/>
      <c r="B733" s="3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</row>
    <row r="734">
      <c r="A734" s="10" t="n"/>
      <c r="B734" s="3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</row>
    <row r="735">
      <c r="A735" s="10" t="n"/>
      <c r="B735" s="3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</row>
    <row r="736">
      <c r="A736" s="10" t="n"/>
      <c r="B736" s="3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</row>
    <row r="737">
      <c r="A737" s="10" t="n"/>
      <c r="B737" s="3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</row>
    <row r="738">
      <c r="A738" s="10" t="n"/>
      <c r="B738" s="3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</row>
    <row r="739">
      <c r="A739" s="10" t="n"/>
      <c r="B739" s="3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</row>
    <row r="740">
      <c r="A740" s="10" t="n"/>
      <c r="B740" s="3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</row>
    <row r="741">
      <c r="A741" s="10" t="n"/>
      <c r="B741" s="3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</row>
    <row r="742">
      <c r="A742" s="10" t="n"/>
      <c r="B742" s="3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</row>
    <row r="743">
      <c r="A743" s="10" t="n"/>
      <c r="B743" s="3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</row>
    <row r="744">
      <c r="A744" s="10" t="n"/>
      <c r="B744" s="3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</row>
    <row r="745">
      <c r="A745" s="10" t="n"/>
      <c r="B745" s="3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</row>
    <row r="746">
      <c r="A746" s="10" t="n"/>
      <c r="B746" s="3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</row>
    <row r="747">
      <c r="A747" s="10" t="n"/>
      <c r="B747" s="3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</row>
    <row r="748">
      <c r="A748" s="10" t="n"/>
      <c r="B748" s="3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</row>
    <row r="749">
      <c r="A749" s="10" t="n"/>
      <c r="B749" s="3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</row>
    <row r="750">
      <c r="A750" s="10" t="n"/>
      <c r="B750" s="3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</row>
    <row r="751">
      <c r="A751" s="10" t="n"/>
      <c r="B751" s="3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</row>
    <row r="752">
      <c r="A752" s="10" t="n"/>
      <c r="B752" s="3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</row>
    <row r="753">
      <c r="A753" s="10" t="n"/>
      <c r="B753" s="3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</row>
    <row r="754">
      <c r="A754" s="10" t="n"/>
      <c r="B754" s="3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</row>
    <row r="755">
      <c r="A755" s="10" t="n"/>
      <c r="B755" s="3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</row>
    <row r="756">
      <c r="A756" s="10" t="n"/>
      <c r="B756" s="3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</row>
    <row r="757">
      <c r="A757" s="10" t="n"/>
      <c r="B757" s="3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</row>
    <row r="758">
      <c r="A758" s="10" t="n"/>
      <c r="B758" s="3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</row>
    <row r="759">
      <c r="A759" s="10" t="n"/>
      <c r="B759" s="3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</row>
    <row r="760">
      <c r="A760" s="10" t="n"/>
      <c r="B760" s="3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</row>
    <row r="761">
      <c r="A761" s="10" t="n"/>
      <c r="B761" s="3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</row>
    <row r="762">
      <c r="A762" s="10" t="n"/>
      <c r="B762" s="3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</row>
    <row r="763">
      <c r="A763" s="10" t="n"/>
      <c r="B763" s="3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</row>
    <row r="764">
      <c r="A764" s="10" t="n"/>
      <c r="B764" s="3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</row>
    <row r="765">
      <c r="A765" s="10" t="n"/>
      <c r="B765" s="3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</row>
    <row r="766">
      <c r="A766" s="10" t="n"/>
      <c r="B766" s="3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</row>
    <row r="767">
      <c r="A767" s="10" t="n"/>
      <c r="B767" s="3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</row>
    <row r="768">
      <c r="A768" s="10" t="n"/>
      <c r="B768" s="3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</row>
    <row r="769">
      <c r="A769" s="10" t="n"/>
      <c r="B769" s="3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</row>
    <row r="770">
      <c r="A770" s="10" t="n"/>
      <c r="B770" s="3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</row>
    <row r="771">
      <c r="A771" s="10" t="n"/>
      <c r="B771" s="3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</row>
    <row r="772">
      <c r="A772" s="10" t="n"/>
      <c r="B772" s="3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</row>
    <row r="773">
      <c r="A773" s="10" t="n"/>
      <c r="B773" s="3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</row>
    <row r="774">
      <c r="A774" s="10" t="n"/>
      <c r="B774" s="3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</row>
    <row r="775">
      <c r="A775" s="10" t="n"/>
      <c r="B775" s="3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</row>
    <row r="776">
      <c r="A776" s="10" t="n"/>
      <c r="B776" s="3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</row>
    <row r="777">
      <c r="A777" s="10" t="n"/>
      <c r="B777" s="3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</row>
    <row r="778">
      <c r="A778" s="10" t="n"/>
      <c r="B778" s="3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</row>
    <row r="779">
      <c r="A779" s="10" t="n"/>
      <c r="B779" s="3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</row>
    <row r="780">
      <c r="A780" s="10" t="n"/>
      <c r="B780" s="3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</row>
    <row r="781">
      <c r="A781" s="10" t="n"/>
      <c r="B781" s="3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</row>
    <row r="782">
      <c r="A782" s="10" t="n"/>
      <c r="B782" s="3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</row>
    <row r="783">
      <c r="A783" s="10" t="n"/>
      <c r="B783" s="3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</row>
    <row r="784">
      <c r="A784" s="10" t="n"/>
      <c r="B784" s="3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</row>
    <row r="785">
      <c r="A785" s="10" t="n"/>
      <c r="B785" s="3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</row>
    <row r="786">
      <c r="A786" s="10" t="n"/>
      <c r="B786" s="3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</row>
    <row r="787">
      <c r="A787" s="10" t="n"/>
      <c r="B787" s="3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</row>
    <row r="788">
      <c r="A788" s="10" t="n"/>
      <c r="B788" s="3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</row>
    <row r="789">
      <c r="A789" s="10" t="n"/>
      <c r="B789" s="3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</row>
    <row r="790">
      <c r="A790" s="10" t="n"/>
      <c r="B790" s="3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</row>
    <row r="791">
      <c r="A791" s="10" t="n"/>
      <c r="B791" s="3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</row>
    <row r="792">
      <c r="A792" s="10" t="n"/>
      <c r="B792" s="3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</row>
    <row r="793">
      <c r="A793" s="10" t="n"/>
      <c r="B793" s="3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</row>
    <row r="794">
      <c r="A794" s="10" t="n"/>
      <c r="B794" s="3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</row>
    <row r="795">
      <c r="A795" s="10" t="n"/>
      <c r="B795" s="3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</row>
    <row r="796">
      <c r="A796" s="10" t="n"/>
      <c r="B796" s="3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</row>
    <row r="797">
      <c r="A797" s="10" t="n"/>
      <c r="B797" s="3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</row>
    <row r="798">
      <c r="A798" s="10" t="n"/>
      <c r="B798" s="3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</row>
    <row r="799">
      <c r="A799" s="10" t="n"/>
      <c r="B799" s="3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</row>
    <row r="800">
      <c r="A800" s="10" t="n"/>
      <c r="B800" s="3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</row>
    <row r="801">
      <c r="A801" s="10" t="n"/>
      <c r="B801" s="3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</row>
    <row r="802">
      <c r="A802" s="10" t="n"/>
      <c r="B802" s="3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</row>
    <row r="803">
      <c r="A803" s="10" t="n"/>
      <c r="B803" s="3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</row>
    <row r="804">
      <c r="A804" s="10" t="n"/>
      <c r="B804" s="3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</row>
    <row r="805">
      <c r="A805" s="10" t="n"/>
      <c r="B805" s="3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</row>
    <row r="806">
      <c r="A806" s="10" t="n"/>
      <c r="B806" s="3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</row>
    <row r="807">
      <c r="A807" s="10" t="n"/>
      <c r="B807" s="3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</row>
    <row r="808">
      <c r="A808" s="10" t="n"/>
      <c r="B808" s="3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</row>
    <row r="809">
      <c r="A809" s="10" t="n"/>
      <c r="B809" s="3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</row>
    <row r="810">
      <c r="A810" s="10" t="n"/>
      <c r="B810" s="3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</row>
    <row r="811">
      <c r="A811" s="10" t="n"/>
      <c r="B811" s="3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</row>
    <row r="812">
      <c r="A812" s="10" t="n"/>
      <c r="B812" s="3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</row>
    <row r="813">
      <c r="A813" s="10" t="n"/>
      <c r="B813" s="3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</row>
    <row r="814">
      <c r="A814" s="10" t="n"/>
      <c r="B814" s="3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</row>
    <row r="815">
      <c r="A815" s="10" t="n"/>
      <c r="B815" s="3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</row>
    <row r="816">
      <c r="A816" s="10" t="n"/>
      <c r="B816" s="3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</row>
    <row r="817">
      <c r="A817" s="10" t="n"/>
      <c r="B817" s="3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</row>
    <row r="818">
      <c r="A818" s="10" t="n"/>
      <c r="B818" s="3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</row>
    <row r="819">
      <c r="A819" s="10" t="n"/>
      <c r="B819" s="3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</row>
    <row r="820">
      <c r="A820" s="10" t="n"/>
      <c r="B820" s="3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</row>
    <row r="821">
      <c r="A821" s="10" t="n"/>
      <c r="B821" s="3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</row>
    <row r="822">
      <c r="A822" s="10" t="n"/>
      <c r="B822" s="3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</row>
    <row r="823">
      <c r="A823" s="10" t="n"/>
      <c r="B823" s="3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</row>
    <row r="824">
      <c r="A824" s="10" t="n"/>
      <c r="B824" s="3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</row>
    <row r="825">
      <c r="A825" s="10" t="n"/>
      <c r="B825" s="3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</row>
    <row r="826">
      <c r="A826" s="10" t="n"/>
      <c r="B826" s="3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</row>
    <row r="827">
      <c r="A827" s="10" t="n"/>
      <c r="B827" s="3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</row>
    <row r="828">
      <c r="A828" s="10" t="n"/>
      <c r="B828" s="3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</row>
    <row r="829">
      <c r="A829" s="10" t="n"/>
      <c r="B829" s="3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</row>
    <row r="830">
      <c r="A830" s="10" t="n"/>
      <c r="B830" s="3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</row>
    <row r="831">
      <c r="A831" s="10" t="n"/>
      <c r="B831" s="3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</row>
    <row r="832">
      <c r="A832" s="10" t="n"/>
      <c r="B832" s="3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</row>
    <row r="833">
      <c r="A833" s="10" t="n"/>
      <c r="B833" s="3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</row>
    <row r="834">
      <c r="A834" s="10" t="n"/>
      <c r="B834" s="3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</row>
    <row r="835">
      <c r="A835" s="10" t="n"/>
      <c r="B835" s="3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</row>
    <row r="836">
      <c r="A836" s="10" t="n"/>
      <c r="B836" s="3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</row>
    <row r="837">
      <c r="A837" s="10" t="n"/>
      <c r="B837" s="3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</row>
    <row r="838">
      <c r="A838" s="10" t="n"/>
      <c r="B838" s="3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</row>
    <row r="839">
      <c r="A839" s="10" t="n"/>
      <c r="B839" s="3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</row>
    <row r="840">
      <c r="A840" s="10" t="n"/>
      <c r="B840" s="3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</row>
    <row r="841">
      <c r="A841" s="10" t="n"/>
      <c r="B841" s="3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</row>
    <row r="842">
      <c r="A842" s="10" t="n"/>
      <c r="B842" s="3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</row>
    <row r="843">
      <c r="A843" s="10" t="n"/>
      <c r="B843" s="3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</row>
    <row r="844">
      <c r="A844" s="10" t="n"/>
      <c r="B844" s="3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</row>
    <row r="845">
      <c r="A845" s="10" t="n"/>
      <c r="B845" s="3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</row>
    <row r="846">
      <c r="A846" s="10" t="n"/>
      <c r="B846" s="3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</row>
    <row r="847">
      <c r="A847" s="10" t="n"/>
      <c r="B847" s="3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</row>
    <row r="848">
      <c r="A848" s="10" t="n"/>
      <c r="B848" s="3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</row>
    <row r="849">
      <c r="A849" s="10" t="n"/>
      <c r="B849" s="3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</row>
    <row r="850">
      <c r="A850" s="10" t="n"/>
      <c r="B850" s="3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</row>
    <row r="851">
      <c r="A851" s="10" t="n"/>
      <c r="B851" s="3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</row>
    <row r="852">
      <c r="A852" s="10" t="n"/>
      <c r="B852" s="3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</row>
    <row r="853">
      <c r="A853" s="10" t="n"/>
      <c r="B853" s="3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</row>
    <row r="854">
      <c r="A854" s="10" t="n"/>
      <c r="B854" s="3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</row>
    <row r="855">
      <c r="A855" s="10" t="n"/>
      <c r="B855" s="3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</row>
    <row r="856">
      <c r="A856" s="10" t="n"/>
      <c r="B856" s="3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</row>
    <row r="857">
      <c r="A857" s="10" t="n"/>
      <c r="B857" s="3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</row>
    <row r="858">
      <c r="A858" s="10" t="n"/>
      <c r="B858" s="3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</row>
    <row r="859">
      <c r="A859" s="10" t="n"/>
      <c r="B859" s="3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</row>
    <row r="860">
      <c r="A860" s="10" t="n"/>
      <c r="B860" s="3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</row>
    <row r="861">
      <c r="A861" s="10" t="n"/>
      <c r="B861" s="3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</row>
    <row r="862">
      <c r="A862" s="10" t="n"/>
      <c r="B862" s="3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</row>
    <row r="863">
      <c r="A863" s="10" t="n"/>
      <c r="B863" s="3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</row>
    <row r="864">
      <c r="A864" s="10" t="n"/>
      <c r="B864" s="3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</row>
    <row r="865">
      <c r="A865" s="10" t="n"/>
      <c r="B865" s="3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</row>
    <row r="866">
      <c r="A866" s="10" t="n"/>
      <c r="B866" s="3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</row>
    <row r="867">
      <c r="A867" s="10" t="n"/>
      <c r="B867" s="3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</row>
    <row r="868">
      <c r="A868" s="10" t="n"/>
      <c r="B868" s="3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</row>
    <row r="869">
      <c r="A869" s="10" t="n"/>
      <c r="B869" s="3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</row>
    <row r="870">
      <c r="A870" s="10" t="n"/>
      <c r="B870" s="3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</row>
    <row r="871">
      <c r="A871" s="10" t="n"/>
      <c r="B871" s="3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</row>
    <row r="872">
      <c r="A872" s="10" t="n"/>
      <c r="B872" s="3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</row>
    <row r="873">
      <c r="A873" s="10" t="n"/>
      <c r="B873" s="3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</row>
    <row r="874">
      <c r="A874" s="10" t="n"/>
      <c r="B874" s="3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</row>
    <row r="875">
      <c r="A875" s="10" t="n"/>
      <c r="B875" s="3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</row>
    <row r="876">
      <c r="A876" s="10" t="n"/>
      <c r="B876" s="3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</row>
    <row r="877">
      <c r="A877" s="10" t="n"/>
      <c r="B877" s="3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</row>
    <row r="878">
      <c r="A878" s="10" t="n"/>
      <c r="B878" s="3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</row>
    <row r="879">
      <c r="A879" s="10" t="n"/>
      <c r="B879" s="3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</row>
    <row r="880">
      <c r="A880" s="10" t="n"/>
      <c r="B880" s="3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</row>
    <row r="881">
      <c r="A881" s="10" t="n"/>
      <c r="B881" s="3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</row>
    <row r="882">
      <c r="A882" s="10" t="n"/>
      <c r="B882" s="3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</row>
    <row r="883">
      <c r="A883" s="10" t="n"/>
      <c r="B883" s="3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</row>
    <row r="884">
      <c r="A884" s="10" t="n"/>
      <c r="B884" s="3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</row>
    <row r="885">
      <c r="A885" s="10" t="n"/>
      <c r="B885" s="3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</row>
    <row r="886">
      <c r="A886" s="10" t="n"/>
      <c r="B886" s="3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</row>
    <row r="887">
      <c r="A887" s="10" t="n"/>
      <c r="B887" s="3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</row>
    <row r="888">
      <c r="A888" s="10" t="n"/>
      <c r="B888" s="3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</row>
    <row r="889">
      <c r="A889" s="10" t="n"/>
      <c r="B889" s="3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</row>
    <row r="890">
      <c r="A890" s="10" t="n"/>
      <c r="B890" s="3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</row>
    <row r="891">
      <c r="A891" s="10" t="n"/>
      <c r="B891" s="3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</row>
    <row r="892">
      <c r="A892" s="10" t="n"/>
      <c r="B892" s="3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</row>
    <row r="893">
      <c r="A893" s="10" t="n"/>
      <c r="B893" s="3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</row>
    <row r="894">
      <c r="A894" s="10" t="n"/>
      <c r="B894" s="3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</row>
    <row r="895">
      <c r="A895" s="10" t="n"/>
      <c r="B895" s="3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</row>
    <row r="896">
      <c r="A896" s="10" t="n"/>
      <c r="B896" s="3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</row>
    <row r="897">
      <c r="A897" s="10" t="n"/>
      <c r="B897" s="3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</row>
    <row r="898">
      <c r="A898" s="10" t="n"/>
      <c r="B898" s="3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</row>
    <row r="899">
      <c r="A899" s="10" t="n"/>
      <c r="B899" s="3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</row>
    <row r="900">
      <c r="A900" s="10" t="n"/>
      <c r="B900" s="3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</row>
    <row r="901">
      <c r="A901" s="10" t="n"/>
      <c r="B901" s="3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</row>
    <row r="902">
      <c r="A902" s="10" t="n"/>
      <c r="B902" s="3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</row>
    <row r="903">
      <c r="A903" s="10" t="n"/>
      <c r="B903" s="3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</row>
    <row r="904">
      <c r="A904" s="10" t="n"/>
      <c r="B904" s="3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</row>
    <row r="905">
      <c r="A905" s="10" t="n"/>
      <c r="B905" s="3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</row>
    <row r="906">
      <c r="A906" s="10" t="n"/>
      <c r="B906" s="3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</row>
    <row r="907">
      <c r="A907" s="10" t="n"/>
      <c r="B907" s="3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</row>
    <row r="908">
      <c r="A908" s="10" t="n"/>
      <c r="B908" s="3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</row>
    <row r="909">
      <c r="A909" s="10" t="n"/>
      <c r="B909" s="3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</row>
    <row r="910">
      <c r="A910" s="10" t="n"/>
      <c r="B910" s="3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</row>
    <row r="911">
      <c r="A911" s="10" t="n"/>
      <c r="B911" s="3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</row>
    <row r="912">
      <c r="A912" s="10" t="n"/>
      <c r="B912" s="3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</row>
    <row r="913">
      <c r="A913" s="10" t="n"/>
      <c r="B913" s="3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</row>
    <row r="914">
      <c r="A914" s="10" t="n"/>
      <c r="B914" s="3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</row>
    <row r="915">
      <c r="A915" s="10" t="n"/>
      <c r="B915" s="3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</row>
    <row r="916">
      <c r="A916" s="10" t="n"/>
      <c r="B916" s="3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</row>
    <row r="917">
      <c r="A917" s="10" t="n"/>
      <c r="B917" s="3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</row>
    <row r="918">
      <c r="A918" s="10" t="n"/>
      <c r="B918" s="3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</row>
    <row r="919">
      <c r="A919" s="10" t="n"/>
      <c r="B919" s="3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</row>
    <row r="920">
      <c r="A920" s="10" t="n"/>
      <c r="B920" s="3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</row>
    <row r="921">
      <c r="A921" s="10" t="n"/>
      <c r="B921" s="3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</row>
    <row r="922">
      <c r="A922" s="10" t="n"/>
      <c r="B922" s="3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</row>
    <row r="923">
      <c r="A923" s="10" t="n"/>
      <c r="B923" s="3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</row>
    <row r="924">
      <c r="A924" s="10" t="n"/>
      <c r="B924" s="3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</row>
    <row r="925">
      <c r="A925" s="10" t="n"/>
      <c r="B925" s="3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</row>
    <row r="926">
      <c r="A926" s="10" t="n"/>
      <c r="B926" s="3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</row>
    <row r="927">
      <c r="A927" s="10" t="n"/>
      <c r="B927" s="3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</row>
    <row r="928">
      <c r="A928" s="10" t="n"/>
      <c r="B928" s="3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</row>
    <row r="929">
      <c r="A929" s="10" t="n"/>
      <c r="B929" s="3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</row>
    <row r="930">
      <c r="A930" s="10" t="n"/>
      <c r="B930" s="3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</row>
    <row r="931">
      <c r="A931" s="10" t="n"/>
      <c r="B931" s="3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</row>
    <row r="932">
      <c r="A932" s="10" t="n"/>
      <c r="B932" s="3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</row>
    <row r="933">
      <c r="A933" s="10" t="n"/>
      <c r="B933" s="3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</row>
    <row r="934">
      <c r="A934" s="10" t="n"/>
      <c r="B934" s="3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</row>
    <row r="935">
      <c r="A935" s="10" t="n"/>
      <c r="B935" s="3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</row>
    <row r="936">
      <c r="A936" s="10" t="n"/>
      <c r="B936" s="3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</row>
    <row r="937">
      <c r="A937" s="10" t="n"/>
      <c r="B937" s="3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</row>
    <row r="938">
      <c r="A938" s="10" t="n"/>
      <c r="B938" s="3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</row>
    <row r="939">
      <c r="A939" s="10" t="n"/>
      <c r="B939" s="3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</row>
    <row r="940">
      <c r="A940" s="10" t="n"/>
      <c r="B940" s="3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</row>
    <row r="941">
      <c r="A941" s="10" t="n"/>
      <c r="B941" s="3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</row>
    <row r="942">
      <c r="A942" s="10" t="n"/>
      <c r="B942" s="3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</row>
    <row r="943">
      <c r="A943" s="10" t="n"/>
      <c r="B943" s="3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</row>
    <row r="944">
      <c r="A944" s="10" t="n"/>
      <c r="B944" s="3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</row>
    <row r="945">
      <c r="A945" s="10" t="n"/>
      <c r="B945" s="3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</row>
    <row r="946">
      <c r="A946" s="10" t="n"/>
      <c r="B946" s="3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</row>
    <row r="947">
      <c r="A947" s="10" t="n"/>
      <c r="B947" s="3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</row>
    <row r="948">
      <c r="A948" s="10" t="n"/>
      <c r="B948" s="3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</row>
    <row r="949">
      <c r="A949" s="10" t="n"/>
      <c r="B949" s="3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</row>
    <row r="950">
      <c r="A950" s="10" t="n"/>
      <c r="B950" s="3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</row>
    <row r="951">
      <c r="A951" s="10" t="n"/>
      <c r="B951" s="3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</row>
    <row r="952">
      <c r="A952" s="10" t="n"/>
      <c r="B952" s="3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</row>
    <row r="953">
      <c r="A953" s="10" t="n"/>
      <c r="B953" s="3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</row>
    <row r="954">
      <c r="A954" s="10" t="n"/>
      <c r="B954" s="3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</row>
    <row r="955">
      <c r="A955" s="10" t="n"/>
      <c r="B955" s="3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</row>
    <row r="956">
      <c r="A956" s="10" t="n"/>
      <c r="B956" s="3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</row>
    <row r="957">
      <c r="A957" s="10" t="n"/>
      <c r="B957" s="3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</row>
    <row r="958">
      <c r="A958" s="10" t="n"/>
      <c r="B958" s="3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</row>
    <row r="959">
      <c r="A959" s="10" t="n"/>
      <c r="B959" s="3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</row>
    <row r="960">
      <c r="A960" s="10" t="n"/>
      <c r="B960" s="3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</row>
    <row r="961">
      <c r="A961" s="10" t="n"/>
      <c r="B961" s="3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</row>
    <row r="962">
      <c r="A962" s="10" t="n"/>
      <c r="B962" s="3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</row>
    <row r="963">
      <c r="A963" s="10" t="n"/>
      <c r="B963" s="3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</row>
    <row r="964">
      <c r="A964" s="10" t="n"/>
      <c r="B964" s="3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</row>
    <row r="965">
      <c r="A965" s="10" t="n"/>
      <c r="B965" s="3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</row>
    <row r="966">
      <c r="A966" s="10" t="n"/>
      <c r="B966" s="3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</row>
    <row r="967">
      <c r="A967" s="10" t="n"/>
      <c r="B967" s="3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</row>
    <row r="968">
      <c r="A968" s="10" t="n"/>
      <c r="B968" s="3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</row>
    <row r="969">
      <c r="A969" s="10" t="n"/>
      <c r="B969" s="3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</row>
    <row r="970">
      <c r="A970" s="10" t="n"/>
      <c r="B970" s="3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</row>
    <row r="971">
      <c r="A971" s="10" t="n"/>
      <c r="B971" s="3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</row>
    <row r="972">
      <c r="A972" s="10" t="n"/>
      <c r="B972" s="3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</row>
    <row r="973">
      <c r="A973" s="10" t="n"/>
      <c r="B973" s="3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</row>
    <row r="974">
      <c r="A974" s="10" t="n"/>
      <c r="B974" s="3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</row>
    <row r="975">
      <c r="A975" s="10" t="n"/>
      <c r="B975" s="3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</row>
    <row r="976">
      <c r="A976" s="10" t="n"/>
      <c r="B976" s="3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</row>
    <row r="977">
      <c r="A977" s="10" t="n"/>
      <c r="B977" s="3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</row>
    <row r="978">
      <c r="A978" s="10" t="n"/>
      <c r="B978" s="3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</row>
    <row r="979">
      <c r="A979" s="10" t="n"/>
      <c r="B979" s="3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</row>
    <row r="980">
      <c r="A980" s="10" t="n"/>
      <c r="B980" s="3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</row>
    <row r="981">
      <c r="A981" s="10" t="n"/>
      <c r="B981" s="3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</row>
    <row r="982">
      <c r="A982" s="10" t="n"/>
      <c r="B982" s="3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</row>
    <row r="983">
      <c r="A983" s="10" t="n"/>
      <c r="B983" s="3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</row>
    <row r="984">
      <c r="A984" s="10" t="n"/>
      <c r="B984" s="3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</row>
    <row r="985">
      <c r="A985" s="10" t="n"/>
      <c r="B985" s="3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</row>
    <row r="986">
      <c r="A986" s="10" t="n"/>
      <c r="B986" s="3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</row>
    <row r="987">
      <c r="A987" s="10" t="n"/>
      <c r="B987" s="3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</row>
    <row r="988">
      <c r="A988" s="10" t="n"/>
      <c r="B988" s="3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</row>
    <row r="989">
      <c r="A989" s="10" t="n"/>
      <c r="B989" s="3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</row>
    <row r="990">
      <c r="A990" s="10" t="n"/>
      <c r="B990" s="3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</row>
    <row r="991">
      <c r="A991" s="10" t="n"/>
      <c r="B991" s="3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</row>
    <row r="992">
      <c r="A992" s="10" t="n"/>
      <c r="B992" s="3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</row>
    <row r="993">
      <c r="A993" s="10" t="n"/>
      <c r="B993" s="3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</row>
    <row r="994">
      <c r="A994" s="10" t="n"/>
      <c r="B994" s="3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</row>
    <row r="995">
      <c r="A995" s="10" t="n"/>
      <c r="B995" s="3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</row>
    <row r="996">
      <c r="A996" s="10" t="n"/>
      <c r="B996" s="3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</row>
    <row r="997">
      <c r="A997" s="10" t="n"/>
      <c r="B997" s="3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</row>
    <row r="998">
      <c r="A998" s="10" t="n"/>
      <c r="B998" s="3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</row>
    <row r="999">
      <c r="A999" s="10" t="n"/>
      <c r="B999" s="3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</row>
    <row r="1000">
      <c r="A1000" s="10" t="n"/>
      <c r="B1000" s="3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</row>
  </sheetData>
  <autoFilter ref="$A$1:$Z$29"/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Y996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2.63" defaultRowHeight="15.75" customHeight="1"/>
  <cols>
    <col width="26" customWidth="1" style="31" min="1" max="1"/>
    <col width="14" customWidth="1" style="31" min="2" max="2"/>
    <col width="55" customWidth="1" style="31" min="3" max="3"/>
    <col width="90" customWidth="1" style="31" min="4" max="4"/>
    <col width="30" customWidth="1" style="31" min="5" max="5"/>
  </cols>
  <sheetData>
    <row r="1">
      <c r="A1" s="39" t="inlineStr">
        <is>
          <t>講義内容</t>
        </is>
      </c>
      <c r="B1" s="39" t="inlineStr">
        <is>
          <t>タイミング</t>
        </is>
      </c>
      <c r="C1" s="39" t="inlineStr">
        <is>
          <t>件名</t>
        </is>
      </c>
      <c r="D1" s="39" t="inlineStr">
        <is>
          <t>本文</t>
        </is>
      </c>
      <c r="E1" s="39" t="inlineStr">
        <is>
          <t>zoomリンク</t>
        </is>
      </c>
      <c r="F1" s="12" t="n"/>
      <c r="G1" s="12" t="n"/>
      <c r="H1" s="12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</row>
    <row r="2" ht="67.5" customHeight="1" s="31">
      <c r="A2" s="22" t="inlineStr">
        <is>
          <t>オリエンテーション</t>
        </is>
      </c>
      <c r="B2" s="22" t="inlineStr">
        <is>
          <t>前日</t>
        </is>
      </c>
      <c r="C2" s="22" t="inlineStr">
        <is>
          <t>【重要】明日開催！スタートアップオリエンテーション（{{日程}}21時〜）URL詳細</t>
        </is>
      </c>
      <c r="D2" s="22" t="inlineStr">
        <is>
          <t>※このメールは、『{{期}}"Shine A Light"』の皆さまにお送りしております。
こんにちは。
Shine A Light 運営事務局です。
【明日開催のスタートアップオリエンテーションの詳細です】
＝＝＝＝＝
詳細
＝＝＝＝＝
【日時】
{{日程}}{{時間}}
【開催方法】
zoomで開催します。
【視聴URL】
{{zoomリンク}}
ご案内は以上です。
後ほどよろしくお願いいたします。
ご不明な点等ございましたら
当メールの返信にてご連絡ください。
Shine A Light 運営事務局</t>
        </is>
      </c>
      <c r="E2" s="12" t="inlineStr">
        <is>
          <t>https://us02web.zoom.us/j/82603439180
ミーティングID: 826 0343 9180</t>
        </is>
      </c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2" t="n"/>
      <c r="Y2" s="12" t="n"/>
    </row>
    <row r="3" ht="66.75" customHeight="1" s="31">
      <c r="A3" s="27" t="inlineStr">
        <is>
          <t>オリエンテーション</t>
        </is>
      </c>
      <c r="B3" s="27" t="inlineStr">
        <is>
          <t>当日</t>
        </is>
      </c>
      <c r="C3" s="22" t="inlineStr">
        <is>
          <t>【重要】本日開催！スタートアップオリエンテーション（{{日程}}21時〜）URL詳細</t>
        </is>
      </c>
      <c r="D3" s="22" t="inlineStr">
        <is>
          <t>※このメールは、『{{期}}"Shine A Light"』の皆さまにお送りしております。
こんにちは。
Shine A Light 運営事務局です。
【本日開催のスタートアップオリエンテーションの詳細です】
＝＝＝＝＝
詳細
＝＝＝＝＝
【日時】
{{日程}}{{時間}}
【開催方法】
zoomで開催します。
【視聴URL】
{{zoomリンク}}
ご案内は以上です。
ご不明な点等ございましたら
当メールの返信にてご連絡ください。
Shine A Light 運営事務局</t>
        </is>
      </c>
      <c r="E3" s="12" t="inlineStr">
        <is>
          <t>https://us02web.zoom.us/j/82603439180
ミーティングID: 826 0343 9180</t>
        </is>
      </c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</row>
    <row r="4" ht="126.75" customHeight="1" s="31">
      <c r="A4" s="22" t="inlineStr">
        <is>
          <t>オリエンテーション</t>
        </is>
      </c>
      <c r="B4" s="22" t="inlineStr">
        <is>
          <t>アーカイブ</t>
        </is>
      </c>
      <c r="C4" s="22" t="inlineStr">
        <is>
          <t>【重要】{{日程}}オリエンテーションアーカイブ&amp;プラチナプログラムのご案内</t>
        </is>
      </c>
      <c r="D4" s="22" t="inlineStr">
        <is>
          <t>※このメールは、『{{期}}"Shine A Light"』の皆さまにお送りしております。
こんにちは。
Shine A Light 運営事務局です。
{{日程}}のオリエンテーションの
アーカイブをお送りします。
また、
・{{期}}の会員サイト
・プラチナプログラム（審査制）の詳細
についてのご案内も記載いたします。
長文になりますが、
最後までメールをご覧ください。
＝＝＝＝＝＝＝＝＝
オリエンテーションのアーカイブ＞＞
＝＝＝＝＝＝＝＝＝
【{{期}}の会員サイトはこちらです】
※{{第1回目動画配信日}}に配信される
第1回目の講義前にログインして、
モジュール８の
「オリエンテーション”Shine A Light”の進め方」
をご視聴ください
お申し込みされた時のメールアドレスで
ログインしてみてください。
もしパスワードがうまくいかない場合は
パスワードを再設定してログインお願いいたします。
＝＝＝
{{会員サイト}}
＝＝＝
【プラチナプログラム（審査制）のご案内】
個別コンサル付きプロデュースコース
（審査制）のエントリーを受け付けいたします。
プラチナプログラムに参加している先生からは
月商100万円以上の売上報告を続々といただいたり、
売上だけでなくお教室の先生以外の
ポジションを確立することにより
ブランディングが上がり
活躍の場が広がります。
ビジネスについて
さらにレベルの高いことが
学べる場で、
・先生たちへ講座を開講して行きたい
・高額商品を作り売り上げを上げたい
・レッスン以外の収入の柱が欲しい
という方におすすめします。
【最終エントリー締切：{{第1回動画配信3日後}}24時まで】
＝＝＝＝
プラチナ書類審査フォーム（最速で結果を出したい方へ！）
http://wakanasonlineschool.com/platinum-program-form/
（審査料１万円）
プラチナプログラム説明動画
https://vimeo.com/1163628152/bfbb0dc804?share=copy&amp;fl=sv&amp;fe=ci
プラチナメンバーインタビュー集（ご参考にご視聴ください）
https://wakanasonlineschool.com/platinum-member-casestudy-2026/
＝＝＝＝
※書類審査へのエントリーフォームは、
入力するのに長い方は３０分ほど時間が必要な場合もあります。
時間に余裕を持ってエントリーください。
ぜひエントリーして
新たな挑戦をしてください＾＾
プラチナプログラムへの
ご質問やご相談がある場合は、
ヴォンドラ高橋若菜に個別メッセージ、
またはメールをくださいませ。
もっともっと上を目指して
行きましょう！
ご案内は以上です。
ご不明な点等ございましたら
当メールの返信にてお問合せください。
Shine A Light 運営事務局</t>
        </is>
      </c>
      <c r="E4" s="2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</row>
    <row r="5" ht="180" customHeight="1" s="31">
      <c r="A5" s="37" t="inlineStr">
        <is>
          <t>第1回動画配信</t>
        </is>
      </c>
      <c r="B5" s="37" t="inlineStr">
        <is>
          <t>当日</t>
        </is>
      </c>
      <c r="C5" s="37" t="inlineStr">
        <is>
          <t>【重要】第1回目の講義動画をお届けいたします</t>
        </is>
      </c>
      <c r="D5" s="37" t="inlineStr">
        <is>
          <t>※このメールは、『{{期}}"Shine A Light"』の皆さまにお送りしております。
こんにちは
Shine A Light 運営事務局です。
本日、第1回目の講義動画を会員サイトにアップいたしました。
＝＝＝＝＝
{{会員サイト}}
＝＝＝＝＝
モジュールの項目で第1回目の講義動画をご視聴可能です。
＜第1回目：ブランディング＞
①３ヶ月でオンラインで成功するためのマインドセット
②ストーリーの作り方
③実績を掘り起こそう／お客様のお声を取ってみよう
④魅力的なプロフィール作成
⑤Youtubeで市場調査
課題提出の期限は次回の講義動画配信日までとなっております。
ご案内は以上です。
ご不明点のお問い合わせは
当メールの返信にてご連絡ください。
Shine A Light 運営事務局</t>
        </is>
      </c>
      <c r="E5" s="37" t="inlineStr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</row>
    <row r="6" ht="180" customHeight="1" s="31">
      <c r="A6" s="37" t="inlineStr">
        <is>
          <t>第2回動画配信</t>
        </is>
      </c>
      <c r="B6" s="37" t="inlineStr">
        <is>
          <t>当日</t>
        </is>
      </c>
      <c r="C6" s="37" t="inlineStr">
        <is>
          <t>【重要】第2回目の講義動画をお届けいたします</t>
        </is>
      </c>
      <c r="D6" s="37" t="inlineStr">
        <is>
          <t>※このメールは、『{{期}}"Shine A Light"』の皆さまにお送りしております。
こんにちは
Shine A Light 運営事務局です。
本日、第2回目の講義動画を会員サイトにアップいたしました。
＝＝＝＝＝
{{会員サイト}}
＝＝＝＝＝
モジュールの項目でご視聴ください。
課題提出の期限は次回の講義動画配信日までとなっております。
ご案内は以上です。
ご不明点のお問い合わせは
当メールの返信にてご連絡ください。
Shine A Light 運営事務局</t>
        </is>
      </c>
      <c r="E6" s="37" t="inlineStr"/>
      <c r="F6" s="12" t="n"/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</row>
    <row r="7" ht="180" customHeight="1" s="31">
      <c r="A7" s="37" t="inlineStr">
        <is>
          <t>第3回動画配信</t>
        </is>
      </c>
      <c r="B7" s="37" t="inlineStr">
        <is>
          <t>当日</t>
        </is>
      </c>
      <c r="C7" s="37" t="inlineStr">
        <is>
          <t>【重要】第3回目の講義動画をお届けいたします</t>
        </is>
      </c>
      <c r="D7" s="37" t="inlineStr">
        <is>
          <t>※このメールは、『{{期}}"Shine A Light"』の皆さまにお送りしております。
こんにちは
Shine A Light 運営事務局です。
本日、第3回目の講義動画を会員サイトにアップいたしました。
＝＝＝＝＝
{{会員サイト}}
＝＝＝＝＝
課題提出の期限は次回の講義動画配信日までとなっております。
ご案内は以上です。
ご不明点のお問い合わせは
当メールの返信にてご連絡ください。
Shine A Light 運営事務局</t>
        </is>
      </c>
      <c r="E7" s="37" t="inlineStr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</row>
    <row r="8" ht="180" customHeight="1" s="31">
      <c r="A8" s="37" t="inlineStr">
        <is>
          <t>第4回動画配信</t>
        </is>
      </c>
      <c r="B8" s="37" t="inlineStr">
        <is>
          <t>当日</t>
        </is>
      </c>
      <c r="C8" s="37" t="inlineStr">
        <is>
          <t>【重要】第4回目の講義動画をお届けいたします</t>
        </is>
      </c>
      <c r="D8" s="37" t="inlineStr">
        <is>
          <t>※このメールは、『{{期}}"Shine A Light"』の皆さまにお送りしております。
こんにちは
Shine A Light 運営事務局です。
本日、第4回目の講義動画を会員サイトにアップいたしました。
＝＝＝＝＝
{{会員サイト}}
＝＝＝＝＝
課題提出の期限は次回の講義動画配信日までとなっております。
ご案内は以上です。
ご不明点のお問い合わせは
当メールの返信にてご連絡ください。
Shine A Light 運営事務局</t>
        </is>
      </c>
      <c r="E8" s="37" t="inlineStr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</row>
    <row r="9" ht="180" customHeight="1" s="31">
      <c r="A9" s="37" t="inlineStr">
        <is>
          <t>第5回動画配信</t>
        </is>
      </c>
      <c r="B9" s="37" t="inlineStr">
        <is>
          <t>当日</t>
        </is>
      </c>
      <c r="C9" s="37" t="inlineStr">
        <is>
          <t>【重要】第5回目の講義動画をお届けいたします</t>
        </is>
      </c>
      <c r="D9" s="37" t="inlineStr">
        <is>
          <t>※このメールは、『{{期}}"Shine A Light"』の皆さまにお送りしております。
こんにちは
Shine A Light 運営事務局です。
本日、第5回目の講義動画を会員サイトにアップいたしました。
＝＝＝＝＝
{{会員サイト}}
＝＝＝＝＝
課題提出の期限は次回の講義動画配信日までとなっております。
ご案内は以上です。
ご不明点のお問い合わせは
当メールの返信にてご連絡ください。
Shine A Light 運営事務局</t>
        </is>
      </c>
      <c r="E9" s="37" t="inlineStr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</row>
    <row r="10" ht="180" customHeight="1" s="31">
      <c r="A10" s="37" t="inlineStr">
        <is>
          <t>第6回動画配信</t>
        </is>
      </c>
      <c r="B10" s="37" t="inlineStr">
        <is>
          <t>当日</t>
        </is>
      </c>
      <c r="C10" s="37" t="inlineStr">
        <is>
          <t>【重要】第6回目の講義動画をお届けいたします</t>
        </is>
      </c>
      <c r="D10" s="37" t="inlineStr">
        <is>
          <t>※このメールは、『{{期}}"Shine A Light"』の皆さまにお送りしております。
こんにちは
Shine A Light 運営事務局です。
本日、第6回目の講義動画を会員サイトにアップいたしました。
＝＝＝＝＝
{{会員サイト}}
＝＝＝＝＝
3ヶ月お疲れ様でした！
ご案内は以上です。
ご不明点のお問い合わせは
当メールの返信にてご連絡ください。
Shine A Light 運営事務局</t>
        </is>
      </c>
      <c r="E10" s="37" t="inlineStr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</row>
    <row r="11" ht="180" customHeight="1" s="31">
      <c r="A11" s="37" t="inlineStr">
        <is>
          <t>キャッチアップウェンズデー</t>
        </is>
      </c>
      <c r="B11" s="37" t="inlineStr">
        <is>
          <t>メールセット</t>
        </is>
      </c>
      <c r="C11" s="37" t="inlineStr">
        <is>
          <t>【重要】{{日程}}キャッチアップウェンズデーのご案内</t>
        </is>
      </c>
      <c r="D11" s="37" t="inlineStr">
        <is>
          <t>※このメールは、『{{期}}"Shine A Light"』の皆さまにお送りしております。
こんにちは。
Shine A Light 運営事務局です。
{{日程}}{{時間}}にサポート講師による
キャッチアップウェンズデーを開催します。
今回のサポート講師は{{担当者}}です。
気軽にご参加ください。
ご案内は以上です。
ご不明点のお問い合わせは
当メールの返信にてご連絡ください。
Shine A Light 運営事務局</t>
        </is>
      </c>
      <c r="E11" s="37" t="inlineStr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</row>
    <row r="12" ht="180" customHeight="1" s="31">
      <c r="A12" s="37" t="inlineStr">
        <is>
          <t>キャッチアップウェンズデー</t>
        </is>
      </c>
      <c r="B12" s="37" t="inlineStr">
        <is>
          <t>前日</t>
        </is>
      </c>
      <c r="C12" s="37" t="inlineStr">
        <is>
          <t>【重要】明日{{時間}}キャッチアップウェンズデー詳細</t>
        </is>
      </c>
      <c r="D12" s="37" t="inlineStr">
        <is>
          <t>※このメールは、『{{期}}"Shine A Light"』の皆さまにお送りしております。
こんにちは。
Shine A Light 運営事務局です。
明日 {{日程}}{{時間}} にキャッチアップウェンズデーがございます。
＝＝＝＝＝＝
【参加URL（Zoom）】
{{zoomリンク}}
＝＝＝＝＝＝
サポート講師：{{担当者}}
ご案内は以上です。
ご不明点のお問い合わせは
当メールの返信にてご連絡ください。
Shine A Light 運営事務局</t>
        </is>
      </c>
      <c r="E12" s="37" t="inlineStr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2" t="n"/>
      <c r="Y12" s="12" t="n"/>
    </row>
    <row r="13" ht="180" customHeight="1" s="31">
      <c r="A13" s="37" t="inlineStr">
        <is>
          <t>キャッチアップウェンズデー</t>
        </is>
      </c>
      <c r="B13" s="37" t="inlineStr">
        <is>
          <t>当日</t>
        </is>
      </c>
      <c r="C13" s="37" t="inlineStr">
        <is>
          <t>【重要】本日{{時間}}キャッチアップウェンズデー詳細</t>
        </is>
      </c>
      <c r="D13" s="37" t="inlineStr">
        <is>
          <t>※このメールは、『{{期}}"Shine A Light"』の皆さまにお送りしております。
こんにちは。
Shine A Light 運営事務局です。
本日 {{日程}}{{時間}} にキャッチアップウェンズデーがございます。
＝＝＝＝＝＝
【参加URL（Zoom）】
{{zoomリンク}}
＝＝＝＝＝＝
サポート講師：{{担当者}}
それでは後ほど、よろしくお願いいたします。
ご案内は以上です。
ご不明点のお問い合わせは
当メールの返信にてご連絡ください。
Shine A Light 運営事務局</t>
        </is>
      </c>
      <c r="E13" s="37" t="inlineStr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2" t="n"/>
      <c r="Y13" s="12" t="n"/>
    </row>
    <row r="14" ht="180" customHeight="1" s="31">
      <c r="A14" s="37" t="inlineStr">
        <is>
          <t>キャッチアップウェンズデー</t>
        </is>
      </c>
      <c r="B14" s="37" t="inlineStr">
        <is>
          <t>アーカイブ</t>
        </is>
      </c>
      <c r="C14" s="37" t="inlineStr">
        <is>
          <t>【アーカイブ】{{日程}}キャッチアップウェンズデーの動画です</t>
        </is>
      </c>
      <c r="D14" s="37" t="inlineStr">
        <is>
          <t>※このメールは、『{{期}}"Shine A Light"』の皆さまにお送りしております。
こんにちは。
Shine A Light 運営事務局です。
昨日開催しましたキャッチアップウェンズデーの動画を
会員サイトにアップしました。
参加できなかった方、復習等にご活用ください。
＝＝＝＝＝＝
{{会員サイト}}
＝＝＝＝＝＝
ご案内は以上です。
ご不明点のお問い合わせは
当メールの返信にてご連絡ください。
Shine A Light 運営事務局</t>
        </is>
      </c>
      <c r="E14" s="37" t="inlineStr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</row>
    <row r="15" ht="180" customHeight="1" s="31">
      <c r="A15" s="37" t="inlineStr">
        <is>
          <t>キャッチアップマンデー</t>
        </is>
      </c>
      <c r="B15" s="37" t="inlineStr">
        <is>
          <t>メールセット</t>
        </is>
      </c>
      <c r="C15" s="37" t="inlineStr">
        <is>
          <t>【重要】{{日程}}キャッチアップマンデーのご案内</t>
        </is>
      </c>
      <c r="D15" s="37" t="inlineStr">
        <is>
          <t>※このメールは、『{{期}}"Shine A Light"』の皆さまにお送りしております。
こんにちは。
Shine A Light 運営事務局です。
{{日程}}{{時間}}に
若菜先生のキャッチアップマンデーを開催します。
気軽にご参加ください。
ご案内は以上です。
ご不明点のお問い合わせは
当メールの返信にてご連絡ください。
Shine A Light 運営事務局</t>
        </is>
      </c>
      <c r="E15" s="37" t="inlineStr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</row>
    <row r="16" ht="180" customHeight="1" s="31">
      <c r="A16" s="37" t="inlineStr">
        <is>
          <t>キャッチアップマンデー</t>
        </is>
      </c>
      <c r="B16" s="37" t="inlineStr">
        <is>
          <t>前日</t>
        </is>
      </c>
      <c r="C16" s="37" t="inlineStr">
        <is>
          <t>【重要】明日{{時間}}キャッチアップマンデー詳細</t>
        </is>
      </c>
      <c r="D16" s="37" t="inlineStr">
        <is>
          <t>※このメールは、『{{期}}"Shine A Light"』の皆さまにお送りしております。
こんにちは。
Shine A Light 運営事務局です。
明日 {{日程}}{{時間}} にキャッチアップマンデーがございます。
＝＝＝＝＝＝
【参加URL（Zoom）】
{{zoomリンク}}
＝＝＝＝＝＝
担当：{{担当者}}
ご案内は以上です。
ご不明点のお問い合わせは
当メールの返信にてご連絡ください。
Shine A Light 運営事務局</t>
        </is>
      </c>
      <c r="E16" s="37" t="inlineStr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</row>
    <row r="17" ht="180" customHeight="1" s="31">
      <c r="A17" s="37" t="inlineStr">
        <is>
          <t>キャッチアップマンデー</t>
        </is>
      </c>
      <c r="B17" s="37" t="inlineStr">
        <is>
          <t>当日</t>
        </is>
      </c>
      <c r="C17" s="37" t="inlineStr">
        <is>
          <t>【重要】本日{{時間}}キャッチアップマンデー詳細</t>
        </is>
      </c>
      <c r="D17" s="37" t="inlineStr">
        <is>
          <t>※このメールは、『{{期}}"Shine A Light"』の皆さまにお送りしております。
こんにちは。
Shine A Light 運営事務局です。
本日 {{日程}}{{時間}} にキャッチアップマンデーがございます。
＝＝＝＝＝＝
【参加URL（Zoom）】
{{zoomリンク}}
＝＝＝＝＝＝
担当：{{担当者}}
それでは後ほど、よろしくお願いいたします。
ご案内は以上です。
ご不明点のお問い合わせは
当メールの返信にてご連絡ください。
Shine A Light 運営事務局</t>
        </is>
      </c>
      <c r="E17" s="37" t="inlineStr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</row>
    <row r="18" ht="180" customHeight="1" s="31">
      <c r="A18" s="37" t="inlineStr">
        <is>
          <t>キャッチアップマンデー</t>
        </is>
      </c>
      <c r="B18" s="37" t="inlineStr">
        <is>
          <t>アーカイブ</t>
        </is>
      </c>
      <c r="C18" s="37" t="inlineStr">
        <is>
          <t>【アーカイブ】{{日程}}キャッチアップマンデーの動画です</t>
        </is>
      </c>
      <c r="D18" s="37" t="inlineStr">
        <is>
          <t>※このメールは、『{{期}}"Shine A Light"』の皆さまにお送りしております。
こんにちは。
Shine A Light 運営事務局です。
昨日のキャッチアップマンデーのアーカイブを
会員サイトにアップしました。
参加できなかった方、復習等にご活用ください。
＝＝＝＝＝＝
{{会員サイト}}
＝＝＝＝＝＝
ご案内は以上です。
ご不明点のお問い合わせは
当メールの返信にてご連絡ください。
Shine A Light 運営事務局</t>
        </is>
      </c>
      <c r="E18" s="37" t="inlineStr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  <c r="V18" s="12" t="n"/>
      <c r="W18" s="12" t="n"/>
      <c r="X18" s="12" t="n"/>
      <c r="Y18" s="12" t="n"/>
    </row>
    <row r="19" ht="180" customHeight="1" s="31">
      <c r="A19" s="37" t="inlineStr">
        <is>
          <t>サポート講師ビギナーグルコン</t>
        </is>
      </c>
      <c r="B19" s="37" t="inlineStr">
        <is>
          <t>メールセット</t>
        </is>
      </c>
      <c r="C19" s="37" t="inlineStr">
        <is>
          <t>【重要】{{日程}}{{時間}}開催 ビギナーグルコンの質問をお送りください</t>
        </is>
      </c>
      <c r="D19" s="37" t="inlineStr">
        <is>
          <t>※このメールは、『{{期}}"Shine A Light"』の皆さまにお送りしております。
こんにちは。
"Shine A Light"運営事務局です。
{{日程}}{{時間}}にサポート講師によるビギナーグルコンを開催します。
今回のサポート講師は{{担当者}}です。
困っていること・相談したいことがありましたら、何でも小さなことでもいいのでお送りください。
【グルコン開催前の事前アンケートのお願い】
以下のアンケートフォームから送信してください。
いただいた質問にグルコンでお答えいたします。
▼グルコンの事前アンケート▼
{{事前フォームURL}}
ご案内は以上です。
ご不明点のお問い合わせは
当メールの返信にてご連絡ください。
Shine A Light 運営事務局</t>
        </is>
      </c>
      <c r="E19" s="37" t="inlineStr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2" t="n"/>
      <c r="Y19" s="12" t="n"/>
    </row>
    <row r="20" ht="180" customHeight="1" s="31">
      <c r="A20" s="37" t="inlineStr">
        <is>
          <t>サポート講師ビギナーグルコン</t>
        </is>
      </c>
      <c r="B20" s="37" t="inlineStr">
        <is>
          <t>3日前</t>
        </is>
      </c>
      <c r="C20" s="37" t="inlineStr">
        <is>
          <t>【リマインド】{{日程}}ビギナーグルコンの事前質問はお済みですか？</t>
        </is>
      </c>
      <c r="D20" s="37" t="inlineStr">
        <is>
          <t>※このメールは、『{{期}}"Shine A Light"』の皆さまにお送りしております。
こんにちは。
"Shine A Light"運営事務局です。
{{日程}}{{時間}}のビギナーグルコンまであと3日です。
▼事前アンケートフォーム▼
{{事前フォームURL}}
サポート講師：{{担当者}}
ご案内は以上です。
ご不明点のお問い合わせは
当メールの返信にてご連絡ください。
Shine A Light 運営事務局</t>
        </is>
      </c>
      <c r="E20" s="37" t="inlineStr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2" t="n"/>
      <c r="Y20" s="12" t="n"/>
    </row>
    <row r="21" ht="180" customHeight="1" s="31">
      <c r="A21" s="37" t="inlineStr">
        <is>
          <t>サポート講師ビギナーグルコン</t>
        </is>
      </c>
      <c r="B21" s="37" t="inlineStr">
        <is>
          <t>前日</t>
        </is>
      </c>
      <c r="C21" s="37" t="inlineStr">
        <is>
          <t>【重要】明日{{時間}}〜ビギナーグルコン詳細・事前質問受付は本日12時まで！</t>
        </is>
      </c>
      <c r="D21" s="37" t="inlineStr">
        <is>
          <t>※このメールは、『{{期}}"Shine A Light"』の皆さまにお送りしております。
こんにちは。
"Shine A Light"運営事務局です。
明日のビギナーグルコンの詳細と、事前質問アンケート送信のお願いです。
明日 {{日程}}{{時間}} にビギナーグルコンがございます。
＝＝＝＝＝＝
【参加URL（Zoom）】
{{zoomリンク}}
＝＝＝＝＝＝
【事前質問受付は本日12時まで】
{{事前フォームURL}}
サポート講師：{{担当者}}
ご案内は以上です。
ご不明点のお問い合わせは
当メールの返信にてご連絡ください。
Shine A Light 運営事務局</t>
        </is>
      </c>
      <c r="E21" s="37" t="inlineStr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2" t="n"/>
      <c r="Y21" s="12" t="n"/>
    </row>
    <row r="22" ht="180" customHeight="1" s="31">
      <c r="A22" s="37" t="inlineStr">
        <is>
          <t>サポート講師ビギナーグルコン</t>
        </is>
      </c>
      <c r="B22" s="37" t="inlineStr">
        <is>
          <t>当日</t>
        </is>
      </c>
      <c r="C22" s="37" t="inlineStr">
        <is>
          <t>【重要】本日{{時間}}〜ビギナーグルコン詳細</t>
        </is>
      </c>
      <c r="D22" s="37" t="inlineStr">
        <is>
          <t>※このメールは、『{{期}}"Shine A Light"』の皆さまにお送りしております。
こんにちは。
"Shine A Light"運営事務局です。
本日 {{日程}}{{時間}} にビギナーグルコンがございます。
＝＝＝＝＝＝
【参加URL（Zoom）】
{{zoomリンク}}
＝＝＝＝＝＝
サポート講師：{{担当者}}
それでは後ほど、よろしくお願いいたします。
ご案内は以上です。
ご不明点のお問い合わせは
当メールの返信にてご連絡ください。
Shine A Light 運営事務局</t>
        </is>
      </c>
      <c r="E22" s="37" t="inlineStr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2" t="n"/>
      <c r="Y22" s="12" t="n"/>
    </row>
    <row r="23" ht="180" customHeight="1" s="31">
      <c r="A23" s="37" t="inlineStr">
        <is>
          <t>サポート講師ビギナーグルコン</t>
        </is>
      </c>
      <c r="B23" s="37" t="inlineStr">
        <is>
          <t>アーカイブ</t>
        </is>
      </c>
      <c r="C23" s="37" t="inlineStr">
        <is>
          <t>【アーカイブ】{{日程}}ビギナーグルコンの動画です</t>
        </is>
      </c>
      <c r="D23" s="37" t="inlineStr">
        <is>
          <t>※このメールは、『{{期}}"Shine A Light"』の皆さまにお送りしております。
こんにちは。
"Shine A Light"運営事務局です。
昨日のビギナーグルコンのアーカイブを会員サイトにアップしました。
参加できなかった方や復習にご活用ください。
＝＝＝＝＝＝
{{会員サイト}}
＝＝＝＝＝＝
ご案内は以上です。
ご不明点のお問い合わせは
当メールの返信にてご連絡ください。
Shine A Light 運営事務局</t>
        </is>
      </c>
      <c r="E23" s="37" t="inlineStr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2" t="n"/>
      <c r="Y23" s="12" t="n"/>
    </row>
    <row r="24" ht="180" customHeight="1" s="31">
      <c r="A24" s="37" t="inlineStr">
        <is>
          <t>グルコン</t>
        </is>
      </c>
      <c r="B24" s="37" t="inlineStr">
        <is>
          <t>メールセット</t>
        </is>
      </c>
      <c r="C24" s="37" t="inlineStr">
        <is>
          <t>{{日程}}{{時間}}〜開催グルコンの質問をお送りください</t>
        </is>
      </c>
      <c r="D24" s="37" t="inlineStr">
        <is>
          <t>※このメールは、『{{期}}"Shine A Light"』の皆さまにお送りしております。
こんにちは。
"Shine A Light"運営事務局です。
{{日程}}{{時間}}〜開催のグルコンについてのご連絡です。
課題をこなすのに、前へ進むのに、止まってしまっていませんか？
グルコンへの質問を受け付けますので、
ぜひ困っていること・相談したいことがありましたら、
何でも小さなことでもいいのでお送りください。
【グルコン開催前の事前アンケートのお願い】
▼グルコンの事前アンケート▼
{{事前フォームURL}}
※グルコンの欠席連絡は不要です。
【グルコンで添削をご希望の場合の注意点】
■ 対象物：スライド／SNS（プロフィール含む）／LP／ホームページ／Googleドキュメント など
■ 提出方法：事前質問フォームに、対象物のURLリンクを必ず貼り付け。閲覧権限は「リンクを知っている全員が閲覧可」に設定。
■ 質問の書き方：「見てほしいです」の一言でなく、特に見てほしい箇所／現状と目的／相談内容 を具体的にお書きください。
■ 受付できないケース：リンク未記載／個別メッセージでの直前送付／閲覧権限が付与されていないリンク
ご案内は以上です。
ご不明点のお問い合わせは
当メールの返信にてご連絡ください。
Shine A Light 運営事務局</t>
        </is>
      </c>
      <c r="E24" s="37" t="inlineStr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2" t="n"/>
      <c r="Y24" s="12" t="n"/>
    </row>
    <row r="25" ht="180" customHeight="1" s="31">
      <c r="A25" s="37" t="inlineStr">
        <is>
          <t>グルコン</t>
        </is>
      </c>
      <c r="B25" s="37" t="inlineStr">
        <is>
          <t>3日前</t>
        </is>
      </c>
      <c r="C25" s="37" t="inlineStr">
        <is>
          <t>【リマインド】{{日程}}グルコン 事前質問はお済みですか？</t>
        </is>
      </c>
      <c r="D25" s="37" t="inlineStr">
        <is>
          <t>※このメールは、『{{期}}"Shine A Light"』の皆さまにお送りしております。
こんにちは。
"Shine A Light"運営事務局です。
{{日程}}{{時間}}のグルコンまであと3日です。
事前質問がまだの方はぜひお送りください。
▼グルコンの事前アンケート▼
{{事前フォームURL}}
ご案内は以上です。
ご不明点のお問い合わせは
当メールの返信にてご連絡ください。
Shine A Light 運営事務局</t>
        </is>
      </c>
      <c r="E25" s="37" t="inlineStr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2" t="n"/>
      <c r="U25" s="12" t="n"/>
      <c r="V25" s="12" t="n"/>
      <c r="W25" s="12" t="n"/>
      <c r="X25" s="12" t="n"/>
      <c r="Y25" s="12" t="n"/>
    </row>
    <row r="26" ht="180" customHeight="1" s="31">
      <c r="A26" s="37" t="inlineStr">
        <is>
          <t>グルコン</t>
        </is>
      </c>
      <c r="B26" s="37" t="inlineStr">
        <is>
          <t>前日</t>
        </is>
      </c>
      <c r="C26" s="37" t="inlineStr">
        <is>
          <t>【重要】明日{{時間}}〜グルコン詳細・事前質問受付は本日12時まで！</t>
        </is>
      </c>
      <c r="D26" s="37" t="inlineStr">
        <is>
          <t>※このメールは、『{{期}}"Shine A Light"』の皆さまにお送りしております。
こんにちは。
"Shine A Light"運営事務局です。
明日のグルコンの詳細のお知らせと事前質問アンケート送信のお願いです。
明日 {{日程}}{{時間}} にグルコンがございます。
＝＝＝＝＝＝
【グルコン参加URL（Zoom）】
{{zoomリンク}}
＝＝＝＝＝＝
※グルコン動画は、後日アーカイブを送付いたします。
※グルコンの欠席連絡は不要です。
【グルコン事前質問受付は本日12時まで！】
{{事前フォームURL}}
【グルコンで添削をご希望の場合の注意点】
■ 対象物：スライド／SNS（プロフィール含む）／LP／ホームページ／Googleドキュメント など
■ 提出方法：事前質問フォームに、対象物のURLリンクを必ず貼り付け。閲覧権限は「リンクを知っている全員が閲覧可」に設定。
■ 質問の書き方：「見てほしいです」の一言でなく、特に見てほしい箇所／現状と目的／相談内容 を具体的にお書きください。
■ 受付できないケース：リンク未記載／個別メッセージでの直前送付／閲覧権限が付与されていないリンク
ご案内は以上です。
ご不明点のお問い合わせは
当メールの返信にてご連絡ください。
Shine A Light 運営事務局</t>
        </is>
      </c>
      <c r="E26" s="37" t="inlineStr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12" t="n"/>
      <c r="T26" s="12" t="n"/>
      <c r="U26" s="12" t="n"/>
      <c r="V26" s="12" t="n"/>
      <c r="W26" s="12" t="n"/>
      <c r="X26" s="12" t="n"/>
      <c r="Y26" s="12" t="n"/>
    </row>
    <row r="27" ht="180" customHeight="1" s="31">
      <c r="A27" s="37" t="inlineStr">
        <is>
          <t>グルコン</t>
        </is>
      </c>
      <c r="B27" s="37" t="inlineStr">
        <is>
          <t>当日</t>
        </is>
      </c>
      <c r="C27" s="37" t="inlineStr">
        <is>
          <t>【重要】本日{{時間}}〜グルコンの詳細です！</t>
        </is>
      </c>
      <c r="D27" s="37" t="inlineStr">
        <is>
          <t>※このメールは、『{{期}}"Shine A Light"』の皆さまにお送りしております。
こんにちは。
"Shine A Light"運営事務局です。
本日 {{日程}}{{時間}} にグルコンがございます。
＝＝＝＝＝＝
【グルコン参加URL（Zoom）】
{{zoomリンク}}
＝＝＝＝＝＝
※グルコン動画は、後日アーカイブを送付いたします。
本日ご都合がつかない方は、アーカイブをご活用ください。
それでは後ほど、よろしくお願いいたします。
ご案内は以上です。
ご不明点のお問い合わせは
当メールの返信にてご連絡ください。
Shine A Light 運営事務局</t>
        </is>
      </c>
      <c r="E27" s="37" t="inlineStr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2" t="n"/>
      <c r="T27" s="12" t="n"/>
      <c r="U27" s="12" t="n"/>
      <c r="V27" s="12" t="n"/>
      <c r="W27" s="12" t="n"/>
      <c r="X27" s="12" t="n"/>
      <c r="Y27" s="12" t="n"/>
    </row>
    <row r="28" ht="180" customHeight="1" s="31">
      <c r="A28" s="37" t="inlineStr">
        <is>
          <t>グルコン</t>
        </is>
      </c>
      <c r="B28" s="37" t="inlineStr">
        <is>
          <t>アーカイブ</t>
        </is>
      </c>
      <c r="C28" s="37" t="inlineStr">
        <is>
          <t>【グルコン】{{日程}}開催のアーカイブ動画です！</t>
        </is>
      </c>
      <c r="D28" s="37" t="inlineStr">
        <is>
          <t>※このメールは、『{{期}}"Shine A Light"』の皆さまにお送りしております。
こんにちは。
"Shine A Light"運営事務局です。
昨日のグルコンのアーカイブを会員サイトにアップしました！
参加できなかった方や復習にご活用くださいませ。
＝＝＝＝＝＝
{{会員サイト}}
＝＝＝＝＝＝
ご案内は以上です。
ご不明点のお問い合わせは
当メールの返信にてご連絡ください。
Shine A Light 運営事務局</t>
        </is>
      </c>
      <c r="E28" s="37" t="inlineStr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</row>
    <row r="29" ht="180" customHeight="1" s="31">
      <c r="A29" s="37" t="inlineStr">
        <is>
          <t>課題作業会</t>
        </is>
      </c>
      <c r="B29" s="37" t="inlineStr">
        <is>
          <t>メールセット</t>
        </is>
      </c>
      <c r="C29" s="37" t="inlineStr">
        <is>
          <t>【重要】{{日程}}{{時間}}開催 課題作業会の質問をお送りください</t>
        </is>
      </c>
      <c r="D29" s="37" t="inlineStr">
        <is>
          <t>※このメールは、『{{期}}"Shine A Light"』の皆さまにお送りしております。
こんにちは。
"Shine A Light"運営事務局です。
{{日程}}{{時間}}に課題作業会を開催します。
「作業会でこんな作業を一緒にしてほしい！」
「〇〇に困っている！」
ということがありましたら、事前にお伺いしますので
事前フォームに入力ください。
▼作業会の事前フォーム▼
{{事前フォームURL}}
《作業会の詳細》
【日時】{{日程}}{{時間}}
・自由参加 ・途中参加、途中退出OK
【担当講師】{{担当者}}
ご案内は以上です。
ご不明点のお問い合わせは
当メールの返信にてご連絡ください。
Shine A Light 運営事務局</t>
        </is>
      </c>
      <c r="E29" s="37" t="inlineStr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2" t="n"/>
      <c r="T29" s="12" t="n"/>
      <c r="U29" s="12" t="n"/>
      <c r="V29" s="12" t="n"/>
      <c r="W29" s="12" t="n"/>
      <c r="X29" s="12" t="n"/>
      <c r="Y29" s="12" t="n"/>
    </row>
    <row r="30" ht="180" customHeight="1" s="31">
      <c r="A30" s="37" t="inlineStr">
        <is>
          <t>課題作業会</t>
        </is>
      </c>
      <c r="B30" s="37" t="inlineStr">
        <is>
          <t>3日前</t>
        </is>
      </c>
      <c r="C30" s="37" t="inlineStr">
        <is>
          <t>【リマインド】{{日程}}課題作業会 事前質問はお済みですか？</t>
        </is>
      </c>
      <c r="D30" s="37" t="inlineStr">
        <is>
          <t>※このメールは、『{{期}}"Shine A Light"』の皆さまにお送りしております。
こんにちは。
"Shine A Light"運営事務局です。
{{日程}}{{時間}}の課題作業会まであと3日です。
▼事前フォーム▼
{{事前フォームURL}}
ご案内は以上です。
ご不明点のお問い合わせは
当メールの返信にてご連絡ください。
Shine A Light 運営事務局</t>
        </is>
      </c>
      <c r="E30" s="37" t="inlineStr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2" t="n"/>
      <c r="T30" s="12" t="n"/>
      <c r="U30" s="12" t="n"/>
      <c r="V30" s="12" t="n"/>
      <c r="W30" s="12" t="n"/>
      <c r="X30" s="12" t="n"/>
      <c r="Y30" s="12" t="n"/>
    </row>
    <row r="31" ht="180" customHeight="1" s="31">
      <c r="A31" s="37" t="inlineStr">
        <is>
          <t>課題作業会</t>
        </is>
      </c>
      <c r="B31" s="37" t="inlineStr">
        <is>
          <t>前日</t>
        </is>
      </c>
      <c r="C31" s="37" t="inlineStr">
        <is>
          <t>【重要】明日{{時間}}〜作業会詳細・事前質問受付は本日12時まで！</t>
        </is>
      </c>
      <c r="D31" s="37" t="inlineStr">
        <is>
          <t>※このメールは、『{{期}}"Shine A Light"』の皆さまにお送りしております。
こんにちは。
"Shine A Light"運営事務局です。
明日の作業会の詳細と事前フォーム送信のお願いです。
明日 {{日程}}{{時間}} に作業会がございます。
＝＝＝＝＝＝
【参加URL（Zoom）】
{{zoomリンク}}
＝＝＝＝＝＝
【担当講師】{{担当者}}
【事前質問の回答期限は本日12時まで！】
{{事前フォームURL}}
ご案内は以上です。
ご不明点のお問い合わせは
当メールの返信にてご連絡ください。
Shine A Light 運営事務局</t>
        </is>
      </c>
      <c r="E31" s="37" t="inlineStr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12" t="n"/>
      <c r="W31" s="12" t="n"/>
      <c r="X31" s="12" t="n"/>
      <c r="Y31" s="12" t="n"/>
    </row>
    <row r="32" ht="180" customHeight="1" s="31">
      <c r="A32" s="37" t="inlineStr">
        <is>
          <t>課題作業会</t>
        </is>
      </c>
      <c r="B32" s="37" t="inlineStr">
        <is>
          <t>当日</t>
        </is>
      </c>
      <c r="C32" s="37" t="inlineStr">
        <is>
          <t>【重要】本日{{時間}}〜作業会の詳細です！</t>
        </is>
      </c>
      <c r="D32" s="37" t="inlineStr">
        <is>
          <t>※このメールは、『{{期}}"Shine A Light"』の皆さまにお送りしております。
こんにちは。
"Shine A Light"運営事務局です。
本日 {{日程}}{{時間}} に作業会がございます。
＝＝＝＝＝＝
【参加URL（Zoom）】
{{zoomリンク}}
＝＝＝＝＝＝
《作業会の詳細》
【担当講師】{{担当者}}
それでは後ほど、よろしくお願いいたします。
ご案内は以上です。
ご不明点のお問い合わせは
当メールの返信にてご連絡ください。
Shine A Light 運営事務局</t>
        </is>
      </c>
      <c r="E32" s="37" t="inlineStr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  <c r="V32" s="12" t="n"/>
      <c r="W32" s="12" t="n"/>
      <c r="X32" s="12" t="n"/>
      <c r="Y32" s="12" t="n"/>
    </row>
    <row r="33" ht="180" customHeight="1" s="31">
      <c r="A33" s="37" t="inlineStr">
        <is>
          <t>課題作業会</t>
        </is>
      </c>
      <c r="B33" s="37" t="inlineStr">
        <is>
          <t>アーカイブ</t>
        </is>
      </c>
      <c r="C33" s="37" t="inlineStr">
        <is>
          <t>【作業会】{{日程}}開催のアーカイブ動画です！</t>
        </is>
      </c>
      <c r="D33" s="37" t="inlineStr">
        <is>
          <t>※このメールは、『{{期}}"Shine A Light"』の皆さまにお送りしております。
こんにちは。
"Shine A Light"運営事務局です。
昨日の作業会のアーカイブを会員サイトにアップしました！
参加できなかった方や復習にご活用くださいませ。
＝＝＝＝＝＝
{{会員サイト}}
＝＝＝＝＝＝
ご案内は以上です。
ご不明点のお問い合わせは
当メールの返信にてご連絡ください。
Shine A Light 運営事務局</t>
        </is>
      </c>
      <c r="E33" s="37" t="inlineStr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  <c r="P33" s="12" t="n"/>
      <c r="Q33" s="12" t="n"/>
      <c r="R33" s="12" t="n"/>
      <c r="S33" s="12" t="n"/>
      <c r="T33" s="12" t="n"/>
      <c r="U33" s="12" t="n"/>
      <c r="V33" s="12" t="n"/>
      <c r="W33" s="12" t="n"/>
      <c r="X33" s="12" t="n"/>
      <c r="Y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  <c r="V34" s="12" t="n"/>
      <c r="W34" s="12" t="n"/>
      <c r="X34" s="12" t="n"/>
      <c r="Y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12" t="n"/>
      <c r="W37" s="12" t="n"/>
      <c r="X37" s="12" t="n"/>
      <c r="Y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2" t="n"/>
      <c r="Y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12" t="n"/>
      <c r="Q39" s="12" t="n"/>
      <c r="R39" s="12" t="n"/>
      <c r="S39" s="12" t="n"/>
      <c r="T39" s="12" t="n"/>
      <c r="U39" s="12" t="n"/>
      <c r="V39" s="12" t="n"/>
      <c r="W39" s="12" t="n"/>
      <c r="X39" s="12" t="n"/>
      <c r="Y39" s="12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  <c r="P40" s="12" t="n"/>
      <c r="Q40" s="12" t="n"/>
      <c r="R40" s="12" t="n"/>
      <c r="S40" s="12" t="n"/>
      <c r="T40" s="12" t="n"/>
      <c r="U40" s="12" t="n"/>
      <c r="V40" s="12" t="n"/>
      <c r="W40" s="12" t="n"/>
      <c r="X40" s="12" t="n"/>
      <c r="Y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2" t="n"/>
      <c r="P41" s="12" t="n"/>
      <c r="Q41" s="12" t="n"/>
      <c r="R41" s="12" t="n"/>
      <c r="S41" s="12" t="n"/>
      <c r="T41" s="12" t="n"/>
      <c r="U41" s="12" t="n"/>
      <c r="V41" s="12" t="n"/>
      <c r="W41" s="12" t="n"/>
      <c r="X41" s="12" t="n"/>
      <c r="Y41" s="12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  <c r="P42" s="12" t="n"/>
      <c r="Q42" s="12" t="n"/>
      <c r="R42" s="12" t="n"/>
      <c r="S42" s="12" t="n"/>
      <c r="T42" s="12" t="n"/>
      <c r="U42" s="12" t="n"/>
      <c r="V42" s="12" t="n"/>
      <c r="W42" s="12" t="n"/>
      <c r="X42" s="12" t="n"/>
      <c r="Y42" s="12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  <c r="P45" s="12" t="n"/>
      <c r="Q45" s="12" t="n"/>
      <c r="R45" s="12" t="n"/>
      <c r="S45" s="12" t="n"/>
      <c r="T45" s="12" t="n"/>
      <c r="U45" s="12" t="n"/>
      <c r="V45" s="12" t="n"/>
      <c r="W45" s="12" t="n"/>
      <c r="X45" s="12" t="n"/>
      <c r="Y45" s="12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 s="12" t="n"/>
      <c r="R46" s="12" t="n"/>
      <c r="S46" s="12" t="n"/>
      <c r="T46" s="12" t="n"/>
      <c r="U46" s="12" t="n"/>
      <c r="V46" s="12" t="n"/>
      <c r="W46" s="12" t="n"/>
      <c r="X46" s="12" t="n"/>
      <c r="Y46" s="12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  <c r="P47" s="12" t="n"/>
      <c r="Q47" s="12" t="n"/>
      <c r="R47" s="12" t="n"/>
      <c r="S47" s="12" t="n"/>
      <c r="T47" s="12" t="n"/>
      <c r="U47" s="12" t="n"/>
      <c r="V47" s="12" t="n"/>
      <c r="W47" s="12" t="n"/>
      <c r="X47" s="12" t="n"/>
      <c r="Y47" s="12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  <c r="V49" s="12" t="n"/>
      <c r="W49" s="12" t="n"/>
      <c r="X49" s="12" t="n"/>
      <c r="Y49" s="12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  <c r="V50" s="12" t="n"/>
      <c r="W50" s="12" t="n"/>
      <c r="X50" s="12" t="n"/>
      <c r="Y50" s="12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  <c r="V51" s="12" t="n"/>
      <c r="W51" s="12" t="n"/>
      <c r="X51" s="12" t="n"/>
      <c r="Y51" s="12" t="n"/>
    </row>
    <row r="5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12" t="n"/>
      <c r="W52" s="12" t="n"/>
      <c r="X52" s="12" t="n"/>
      <c r="Y52" s="12" t="n"/>
    </row>
    <row r="5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  <c r="P53" s="12" t="n"/>
      <c r="Q53" s="12" t="n"/>
      <c r="R53" s="12" t="n"/>
      <c r="S53" s="12" t="n"/>
      <c r="T53" s="12" t="n"/>
      <c r="U53" s="12" t="n"/>
      <c r="V53" s="12" t="n"/>
      <c r="W53" s="12" t="n"/>
      <c r="X53" s="12" t="n"/>
      <c r="Y53" s="12" t="n"/>
    </row>
    <row r="54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  <c r="P54" s="12" t="n"/>
      <c r="Q54" s="12" t="n"/>
      <c r="R54" s="12" t="n"/>
      <c r="S54" s="12" t="n"/>
      <c r="T54" s="12" t="n"/>
      <c r="U54" s="12" t="n"/>
      <c r="V54" s="12" t="n"/>
      <c r="W54" s="12" t="n"/>
      <c r="X54" s="12" t="n"/>
      <c r="Y54" s="12" t="n"/>
    </row>
    <row r="55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12" t="n"/>
      <c r="T55" s="12" t="n"/>
      <c r="U55" s="12" t="n"/>
      <c r="V55" s="12" t="n"/>
      <c r="W55" s="12" t="n"/>
      <c r="X55" s="12" t="n"/>
      <c r="Y55" s="12" t="n"/>
    </row>
    <row r="56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  <c r="P56" s="12" t="n"/>
      <c r="Q56" s="12" t="n"/>
      <c r="R56" s="12" t="n"/>
      <c r="S56" s="12" t="n"/>
      <c r="T56" s="12" t="n"/>
      <c r="U56" s="12" t="n"/>
      <c r="V56" s="12" t="n"/>
      <c r="W56" s="12" t="n"/>
      <c r="X56" s="12" t="n"/>
      <c r="Y56" s="12" t="n"/>
    </row>
    <row r="57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  <c r="P57" s="12" t="n"/>
      <c r="Q57" s="12" t="n"/>
      <c r="R57" s="12" t="n"/>
      <c r="S57" s="12" t="n"/>
      <c r="T57" s="12" t="n"/>
      <c r="U57" s="12" t="n"/>
      <c r="V57" s="12" t="n"/>
      <c r="W57" s="12" t="n"/>
      <c r="X57" s="12" t="n"/>
      <c r="Y57" s="12" t="n"/>
    </row>
    <row r="58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  <c r="P58" s="12" t="n"/>
      <c r="Q58" s="12" t="n"/>
      <c r="R58" s="12" t="n"/>
      <c r="S58" s="12" t="n"/>
      <c r="T58" s="12" t="n"/>
      <c r="U58" s="12" t="n"/>
      <c r="V58" s="12" t="n"/>
      <c r="W58" s="12" t="n"/>
      <c r="X58" s="12" t="n"/>
      <c r="Y58" s="12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  <c r="P59" s="12" t="n"/>
      <c r="Q59" s="12" t="n"/>
      <c r="R59" s="12" t="n"/>
      <c r="S59" s="12" t="n"/>
      <c r="T59" s="12" t="n"/>
      <c r="U59" s="12" t="n"/>
      <c r="V59" s="12" t="n"/>
      <c r="W59" s="12" t="n"/>
      <c r="X59" s="12" t="n"/>
      <c r="Y59" s="12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12" t="n"/>
      <c r="T60" s="12" t="n"/>
      <c r="U60" s="12" t="n"/>
      <c r="V60" s="12" t="n"/>
      <c r="W60" s="12" t="n"/>
      <c r="X60" s="12" t="n"/>
      <c r="Y60" s="12" t="n"/>
    </row>
    <row r="61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</row>
    <row r="6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</row>
    <row r="6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</row>
    <row r="64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</row>
    <row r="65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  <c r="Q65" s="12" t="n"/>
      <c r="R65" s="12" t="n"/>
      <c r="S65" s="12" t="n"/>
      <c r="T65" s="12" t="n"/>
      <c r="U65" s="12" t="n"/>
      <c r="V65" s="12" t="n"/>
      <c r="W65" s="12" t="n"/>
      <c r="X65" s="12" t="n"/>
      <c r="Y65" s="12" t="n"/>
    </row>
    <row r="66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</row>
    <row r="67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</row>
    <row r="68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</row>
    <row r="69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</row>
    <row r="70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</row>
    <row r="71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</row>
    <row r="7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</row>
    <row r="7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</row>
    <row r="74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</row>
    <row r="75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</row>
    <row r="76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</row>
    <row r="77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</row>
    <row r="78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</row>
    <row r="79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</row>
    <row r="80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</row>
    <row r="81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</row>
    <row r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</row>
    <row r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</row>
    <row r="8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</row>
    <row r="85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</row>
    <row r="86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</row>
    <row r="87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</row>
    <row r="88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</row>
    <row r="89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</row>
    <row r="90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</row>
    <row r="91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</row>
    <row r="9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</row>
    <row r="9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</row>
    <row r="94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</row>
    <row r="95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</row>
    <row r="96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</row>
    <row r="97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</row>
    <row r="98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</row>
    <row r="99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</row>
    <row r="101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</row>
    <row r="10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</row>
    <row r="10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</row>
    <row r="104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</row>
    <row r="105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</row>
    <row r="106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</row>
    <row r="107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</row>
    <row r="108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</row>
    <row r="109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</row>
    <row r="110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</row>
    <row r="111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</row>
    <row r="11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</row>
    <row r="11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</row>
    <row r="11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</row>
    <row r="115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</row>
    <row r="116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</row>
    <row r="117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</row>
    <row r="118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</row>
    <row r="119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</row>
    <row r="120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</row>
    <row r="121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</row>
    <row r="12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</row>
    <row r="12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</row>
    <row r="12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</row>
    <row r="125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</row>
    <row r="126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</row>
    <row r="127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</row>
    <row r="128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</row>
    <row r="129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</row>
    <row r="130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</row>
    <row r="131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</row>
    <row r="13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</row>
    <row r="13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</row>
    <row r="13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</row>
    <row r="135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</row>
    <row r="13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</row>
    <row r="137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</row>
    <row r="138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</row>
    <row r="139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</row>
    <row r="140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</row>
    <row r="141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</row>
    <row r="14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</row>
    <row r="14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</row>
    <row r="1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</row>
    <row r="145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</row>
    <row r="14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</row>
    <row r="147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</row>
    <row r="148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</row>
    <row r="149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</row>
    <row r="150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</row>
    <row r="151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</row>
    <row r="15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</row>
    <row r="15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</row>
    <row r="15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</row>
    <row r="155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</row>
    <row r="156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</row>
    <row r="157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</row>
    <row r="158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</row>
    <row r="159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</row>
    <row r="160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</row>
    <row r="161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</row>
    <row r="16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</row>
    <row r="16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</row>
    <row r="16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</row>
    <row r="165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</row>
    <row r="166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</row>
    <row r="167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</row>
    <row r="168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</row>
    <row r="169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</row>
    <row r="170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</row>
    <row r="171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</row>
    <row r="17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</row>
    <row r="17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</row>
    <row r="17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</row>
    <row r="175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</row>
    <row r="176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</row>
    <row r="177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</row>
    <row r="178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</row>
    <row r="179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</row>
    <row r="180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</row>
    <row r="181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</row>
    <row r="1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</row>
    <row r="1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</row>
    <row r="18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</row>
    <row r="185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</row>
    <row r="186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</row>
    <row r="187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</row>
    <row r="188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</row>
    <row r="189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</row>
    <row r="190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</row>
    <row r="191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</row>
    <row r="19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</row>
    <row r="19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</row>
    <row r="19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</row>
    <row r="195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</row>
    <row r="196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</row>
    <row r="197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</row>
    <row r="198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</row>
    <row r="199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</row>
    <row r="200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</row>
    <row r="201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</row>
    <row r="20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</row>
    <row r="20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</row>
    <row r="20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</row>
    <row r="205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</row>
    <row r="206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</row>
    <row r="207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</row>
    <row r="208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</row>
    <row r="209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</row>
    <row r="210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</row>
    <row r="211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</row>
    <row r="21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</row>
    <row r="21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</row>
    <row r="21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</row>
    <row r="215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</row>
    <row r="216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</row>
    <row r="217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</row>
    <row r="218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</row>
    <row r="219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</row>
    <row r="220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</row>
    <row r="221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</row>
    <row r="22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</row>
    <row r="22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</row>
    <row r="22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</row>
    <row r="225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</row>
    <row r="226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</row>
    <row r="227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</row>
    <row r="228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</row>
    <row r="229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</row>
    <row r="230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</row>
    <row r="231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</row>
    <row r="23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</row>
    <row r="23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</row>
    <row r="23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</row>
    <row r="235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</row>
    <row r="236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</row>
    <row r="237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</row>
    <row r="238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</row>
    <row r="239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</row>
    <row r="240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</row>
    <row r="241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</row>
    <row r="24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</row>
    <row r="24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</row>
    <row r="2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</row>
    <row r="245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</row>
    <row r="246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</row>
    <row r="247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</row>
    <row r="248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</row>
    <row r="249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</row>
    <row r="250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</row>
    <row r="251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</row>
    <row r="25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</row>
    <row r="25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</row>
    <row r="25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</row>
    <row r="255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</row>
    <row r="256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</row>
    <row r="257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</row>
    <row r="258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</row>
    <row r="259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</row>
    <row r="260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</row>
    <row r="261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</row>
    <row r="26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</row>
    <row r="26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</row>
    <row r="26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</row>
    <row r="265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</row>
    <row r="266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</row>
    <row r="267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</row>
    <row r="268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</row>
    <row r="269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</row>
    <row r="270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</row>
    <row r="271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</row>
    <row r="27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</row>
    <row r="27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</row>
    <row r="27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</row>
    <row r="275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</row>
    <row r="276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</row>
    <row r="277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</row>
    <row r="278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</row>
    <row r="279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</row>
    <row r="280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</row>
    <row r="281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</row>
    <row r="2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</row>
    <row r="2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</row>
    <row r="284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</row>
    <row r="285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</row>
    <row r="286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</row>
    <row r="287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</row>
    <row r="288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</row>
    <row r="289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</row>
    <row r="290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</row>
    <row r="291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</row>
    <row r="29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</row>
    <row r="29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</row>
    <row r="294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</row>
    <row r="295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</row>
    <row r="296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</row>
    <row r="297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</row>
    <row r="298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</row>
    <row r="299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</row>
    <row r="300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</row>
    <row r="301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</row>
    <row r="30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</row>
    <row r="30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</row>
    <row r="304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</row>
    <row r="305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</row>
    <row r="306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</row>
    <row r="307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</row>
    <row r="308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</row>
    <row r="309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</row>
    <row r="310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</row>
    <row r="311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</row>
    <row r="31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</row>
    <row r="31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</row>
    <row r="314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</row>
    <row r="315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</row>
    <row r="316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</row>
    <row r="317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</row>
    <row r="318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</row>
    <row r="319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</row>
    <row r="320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</row>
    <row r="321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</row>
    <row r="32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</row>
    <row r="32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</row>
    <row r="324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</row>
    <row r="325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</row>
    <row r="326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</row>
    <row r="327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</row>
    <row r="328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</row>
    <row r="329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</row>
    <row r="330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</row>
    <row r="331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</row>
    <row r="33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</row>
    <row r="33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</row>
    <row r="334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</row>
    <row r="335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</row>
    <row r="336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</row>
    <row r="337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</row>
    <row r="338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</row>
    <row r="339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</row>
    <row r="340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</row>
    <row r="341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</row>
    <row r="34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</row>
    <row r="34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</row>
    <row r="344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</row>
    <row r="345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</row>
    <row r="346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</row>
    <row r="347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</row>
    <row r="348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</row>
    <row r="349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</row>
    <row r="350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</row>
    <row r="351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</row>
    <row r="35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</row>
    <row r="35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</row>
    <row r="354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</row>
    <row r="355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</row>
    <row r="356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</row>
    <row r="357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</row>
    <row r="358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</row>
    <row r="359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</row>
    <row r="360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</row>
    <row r="361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</row>
    <row r="36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</row>
    <row r="36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</row>
    <row r="364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</row>
    <row r="365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</row>
    <row r="366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</row>
    <row r="367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</row>
    <row r="368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</row>
    <row r="369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</row>
    <row r="370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</row>
    <row r="371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</row>
    <row r="37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</row>
    <row r="37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</row>
    <row r="374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</row>
    <row r="375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</row>
    <row r="376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</row>
    <row r="377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</row>
    <row r="378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</row>
    <row r="379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</row>
    <row r="380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</row>
    <row r="381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</row>
    <row r="3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</row>
    <row r="3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</row>
    <row r="384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</row>
    <row r="385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</row>
    <row r="386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</row>
    <row r="387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</row>
    <row r="388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</row>
    <row r="389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</row>
    <row r="390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</row>
    <row r="391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</row>
    <row r="39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</row>
    <row r="39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</row>
    <row r="394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</row>
    <row r="395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</row>
    <row r="396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</row>
    <row r="397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</row>
    <row r="398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</row>
    <row r="399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</row>
    <row r="400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</row>
    <row r="401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</row>
    <row r="40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</row>
    <row r="40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</row>
    <row r="404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</row>
    <row r="405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</row>
    <row r="406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</row>
    <row r="407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</row>
    <row r="408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</row>
    <row r="409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</row>
    <row r="410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</row>
    <row r="411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</row>
    <row r="41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</row>
    <row r="41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</row>
    <row r="414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</row>
    <row r="415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</row>
    <row r="416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</row>
    <row r="417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</row>
    <row r="418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</row>
    <row r="419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</row>
    <row r="420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</row>
    <row r="421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</row>
    <row r="42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</row>
    <row r="42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</row>
    <row r="424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</row>
    <row r="425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</row>
    <row r="426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</row>
    <row r="427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</row>
    <row r="428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</row>
    <row r="429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</row>
    <row r="430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</row>
    <row r="431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</row>
    <row r="43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</row>
    <row r="43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</row>
    <row r="434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</row>
    <row r="435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</row>
    <row r="436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</row>
    <row r="437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</row>
    <row r="438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</row>
    <row r="439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</row>
    <row r="440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</row>
    <row r="441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</row>
    <row r="44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</row>
    <row r="44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</row>
    <row r="444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</row>
    <row r="445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</row>
    <row r="446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</row>
    <row r="447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</row>
    <row r="448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</row>
    <row r="449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</row>
    <row r="450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</row>
    <row r="451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</row>
    <row r="45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</row>
    <row r="45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</row>
    <row r="454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</row>
    <row r="455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</row>
    <row r="456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</row>
    <row r="457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</row>
    <row r="458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</row>
    <row r="459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</row>
    <row r="460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</row>
    <row r="461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</row>
    <row r="46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</row>
    <row r="46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</row>
    <row r="464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</row>
    <row r="465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</row>
    <row r="466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</row>
    <row r="467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</row>
    <row r="468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</row>
    <row r="469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</row>
    <row r="470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</row>
    <row r="471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</row>
    <row r="47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</row>
    <row r="47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</row>
    <row r="474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</row>
    <row r="475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</row>
    <row r="476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</row>
    <row r="477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</row>
    <row r="478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</row>
    <row r="479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</row>
    <row r="480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</row>
    <row r="481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</row>
    <row r="4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</row>
    <row r="4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</row>
    <row r="484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</row>
    <row r="485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</row>
    <row r="486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</row>
    <row r="487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</row>
    <row r="488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</row>
    <row r="489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</row>
    <row r="490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</row>
    <row r="491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</row>
    <row r="49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</row>
    <row r="49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</row>
    <row r="494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</row>
    <row r="495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</row>
    <row r="496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</row>
    <row r="497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</row>
    <row r="498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</row>
    <row r="499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</row>
    <row r="500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</row>
    <row r="501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</row>
    <row r="50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</row>
    <row r="50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</row>
    <row r="504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</row>
    <row r="505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</row>
    <row r="506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</row>
    <row r="507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</row>
    <row r="508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</row>
    <row r="509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</row>
    <row r="510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</row>
    <row r="511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</row>
    <row r="51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</row>
    <row r="51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</row>
    <row r="514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</row>
    <row r="515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</row>
    <row r="516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</row>
    <row r="517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</row>
    <row r="518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</row>
    <row r="519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</row>
    <row r="520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</row>
    <row r="521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</row>
    <row r="52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</row>
    <row r="52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</row>
    <row r="524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</row>
    <row r="525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</row>
    <row r="526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</row>
    <row r="527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</row>
    <row r="528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</row>
    <row r="529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</row>
    <row r="530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</row>
    <row r="531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</row>
    <row r="53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</row>
    <row r="53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</row>
    <row r="534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</row>
    <row r="535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</row>
    <row r="536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</row>
    <row r="537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</row>
    <row r="538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</row>
    <row r="539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</row>
    <row r="540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</row>
    <row r="541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</row>
    <row r="54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</row>
    <row r="54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</row>
    <row r="544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</row>
    <row r="545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</row>
    <row r="546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</row>
    <row r="547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</row>
    <row r="548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</row>
    <row r="549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</row>
    <row r="550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</row>
    <row r="551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</row>
    <row r="55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</row>
    <row r="55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</row>
    <row r="554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</row>
    <row r="555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</row>
    <row r="556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</row>
    <row r="557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</row>
    <row r="558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</row>
    <row r="559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</row>
    <row r="560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</row>
    <row r="561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</row>
    <row r="56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</row>
    <row r="56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</row>
    <row r="564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</row>
    <row r="565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</row>
    <row r="566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</row>
    <row r="567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</row>
    <row r="568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</row>
    <row r="569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</row>
    <row r="570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</row>
    <row r="571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</row>
    <row r="57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</row>
    <row r="57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</row>
    <row r="574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</row>
    <row r="575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</row>
    <row r="576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</row>
    <row r="577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</row>
    <row r="578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</row>
    <row r="579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</row>
    <row r="580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</row>
    <row r="581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</row>
    <row r="5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</row>
    <row r="5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</row>
    <row r="584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</row>
    <row r="585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</row>
    <row r="586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</row>
    <row r="587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</row>
    <row r="588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</row>
    <row r="589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</row>
    <row r="590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</row>
    <row r="591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</row>
    <row r="59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</row>
    <row r="59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</row>
    <row r="594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</row>
    <row r="595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</row>
    <row r="596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</row>
    <row r="597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</row>
    <row r="598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</row>
    <row r="599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</row>
    <row r="600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</row>
    <row r="601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</row>
    <row r="60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</row>
    <row r="60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</row>
    <row r="604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</row>
    <row r="605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</row>
    <row r="606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</row>
    <row r="607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</row>
    <row r="608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</row>
    <row r="609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</row>
    <row r="610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</row>
    <row r="611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</row>
    <row r="61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</row>
    <row r="61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</row>
    <row r="614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</row>
    <row r="615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</row>
    <row r="616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</row>
    <row r="617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</row>
    <row r="618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</row>
    <row r="619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</row>
    <row r="620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</row>
    <row r="621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</row>
    <row r="62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</row>
    <row r="62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</row>
    <row r="624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</row>
    <row r="625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</row>
    <row r="626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</row>
    <row r="627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</row>
    <row r="628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</row>
    <row r="629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</row>
    <row r="630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</row>
    <row r="631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</row>
    <row r="63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</row>
    <row r="63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</row>
    <row r="634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</row>
    <row r="635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</row>
    <row r="636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</row>
    <row r="637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</row>
    <row r="638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</row>
    <row r="639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</row>
    <row r="640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</row>
    <row r="641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</row>
    <row r="64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</row>
    <row r="64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</row>
    <row r="644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</row>
    <row r="645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</row>
    <row r="646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</row>
    <row r="647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</row>
    <row r="648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</row>
    <row r="649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</row>
    <row r="650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</row>
    <row r="651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</row>
    <row r="65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</row>
    <row r="65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</row>
    <row r="654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</row>
    <row r="655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</row>
    <row r="656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</row>
    <row r="657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</row>
    <row r="658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</row>
    <row r="659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</row>
    <row r="660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</row>
    <row r="661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</row>
    <row r="66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</row>
    <row r="66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</row>
    <row r="664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</row>
    <row r="665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</row>
    <row r="666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</row>
    <row r="667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</row>
    <row r="668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</row>
    <row r="669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</row>
    <row r="670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</row>
    <row r="671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</row>
    <row r="67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</row>
    <row r="67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</row>
    <row r="674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</row>
    <row r="675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</row>
    <row r="676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</row>
    <row r="677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</row>
    <row r="678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</row>
    <row r="679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</row>
    <row r="680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</row>
    <row r="681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</row>
    <row r="6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</row>
    <row r="6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</row>
    <row r="684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</row>
    <row r="685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</row>
    <row r="686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</row>
    <row r="687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</row>
    <row r="688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</row>
    <row r="689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</row>
    <row r="690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</row>
    <row r="691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</row>
    <row r="69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</row>
    <row r="69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</row>
    <row r="694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</row>
    <row r="695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</row>
    <row r="696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</row>
    <row r="697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</row>
    <row r="698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</row>
    <row r="699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</row>
    <row r="700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</row>
    <row r="701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</row>
    <row r="70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</row>
    <row r="70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</row>
    <row r="704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</row>
    <row r="705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</row>
    <row r="706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</row>
    <row r="707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</row>
    <row r="708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</row>
    <row r="709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</row>
    <row r="710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</row>
    <row r="711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</row>
    <row r="71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</row>
    <row r="71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</row>
    <row r="714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</row>
    <row r="715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</row>
    <row r="716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</row>
    <row r="717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</row>
    <row r="718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</row>
    <row r="719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</row>
    <row r="720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</row>
    <row r="721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</row>
    <row r="72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</row>
    <row r="72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</row>
    <row r="724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</row>
    <row r="725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</row>
    <row r="726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</row>
    <row r="727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</row>
    <row r="728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</row>
    <row r="729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</row>
    <row r="730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</row>
    <row r="731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</row>
    <row r="73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</row>
    <row r="73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</row>
    <row r="734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</row>
    <row r="735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</row>
    <row r="736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</row>
    <row r="737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</row>
    <row r="738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</row>
    <row r="739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</row>
    <row r="740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</row>
    <row r="741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</row>
    <row r="74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</row>
    <row r="74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</row>
    <row r="744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</row>
    <row r="745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</row>
    <row r="746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</row>
    <row r="747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</row>
    <row r="748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</row>
    <row r="749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</row>
    <row r="750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</row>
    <row r="751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</row>
    <row r="75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</row>
    <row r="75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</row>
    <row r="754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</row>
    <row r="755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</row>
    <row r="756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</row>
    <row r="757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</row>
    <row r="758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</row>
    <row r="759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</row>
    <row r="760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</row>
    <row r="761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</row>
    <row r="76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</row>
    <row r="76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</row>
    <row r="764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</row>
    <row r="765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</row>
    <row r="766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</row>
    <row r="767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</row>
    <row r="768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</row>
    <row r="769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</row>
    <row r="770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</row>
    <row r="771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</row>
    <row r="77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</row>
    <row r="77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</row>
    <row r="774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</row>
    <row r="775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</row>
    <row r="776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</row>
    <row r="777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</row>
    <row r="778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</row>
    <row r="779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</row>
    <row r="780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</row>
    <row r="781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</row>
    <row r="7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</row>
    <row r="7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</row>
    <row r="784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</row>
    <row r="785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</row>
    <row r="786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</row>
    <row r="787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</row>
    <row r="788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</row>
    <row r="789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</row>
    <row r="790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</row>
    <row r="791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</row>
    <row r="79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</row>
    <row r="79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</row>
    <row r="794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</row>
    <row r="795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</row>
    <row r="796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</row>
    <row r="797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</row>
    <row r="798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</row>
    <row r="799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</row>
    <row r="800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</row>
    <row r="801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</row>
    <row r="80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</row>
    <row r="80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</row>
    <row r="804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</row>
    <row r="805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</row>
    <row r="806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</row>
    <row r="807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</row>
    <row r="808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</row>
    <row r="809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</row>
    <row r="810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</row>
    <row r="811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</row>
    <row r="81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</row>
    <row r="81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</row>
    <row r="814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</row>
    <row r="815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</row>
    <row r="816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</row>
    <row r="817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</row>
    <row r="818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</row>
    <row r="819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</row>
    <row r="820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</row>
    <row r="821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</row>
    <row r="82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</row>
    <row r="82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</row>
    <row r="824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</row>
    <row r="825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</row>
    <row r="826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</row>
    <row r="827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</row>
    <row r="828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</row>
    <row r="829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</row>
    <row r="830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</row>
    <row r="831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</row>
    <row r="83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</row>
    <row r="83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</row>
    <row r="834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</row>
    <row r="835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</row>
    <row r="836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</row>
    <row r="837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</row>
    <row r="838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</row>
    <row r="839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</row>
    <row r="840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</row>
    <row r="841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</row>
    <row r="84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</row>
    <row r="84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</row>
    <row r="844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</row>
    <row r="845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</row>
    <row r="846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</row>
    <row r="847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</row>
    <row r="848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</row>
    <row r="849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</row>
    <row r="850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</row>
    <row r="851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</row>
    <row r="85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</row>
    <row r="85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</row>
    <row r="854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</row>
    <row r="855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</row>
    <row r="856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</row>
    <row r="857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</row>
    <row r="858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</row>
    <row r="859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</row>
    <row r="860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</row>
    <row r="861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</row>
    <row r="86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</row>
    <row r="86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</row>
    <row r="864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</row>
    <row r="865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</row>
    <row r="866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</row>
    <row r="867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</row>
    <row r="868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</row>
    <row r="869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</row>
    <row r="870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</row>
    <row r="871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</row>
    <row r="87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</row>
    <row r="87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</row>
    <row r="874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</row>
    <row r="875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</row>
    <row r="876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</row>
    <row r="877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</row>
    <row r="878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</row>
    <row r="879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</row>
    <row r="880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</row>
    <row r="881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</row>
    <row r="8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</row>
    <row r="8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</row>
    <row r="884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</row>
    <row r="885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</row>
    <row r="886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</row>
    <row r="887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</row>
    <row r="888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</row>
    <row r="889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</row>
    <row r="890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</row>
    <row r="891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</row>
    <row r="89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</row>
    <row r="89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</row>
    <row r="894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</row>
    <row r="895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</row>
    <row r="896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</row>
    <row r="897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</row>
    <row r="898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</row>
    <row r="899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</row>
    <row r="900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</row>
    <row r="901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</row>
    <row r="90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</row>
    <row r="90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</row>
    <row r="904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</row>
    <row r="905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</row>
    <row r="906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</row>
    <row r="907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</row>
    <row r="908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</row>
    <row r="909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</row>
    <row r="910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</row>
    <row r="911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</row>
    <row r="91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</row>
    <row r="91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</row>
    <row r="914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</row>
    <row r="915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</row>
    <row r="916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</row>
    <row r="917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</row>
    <row r="918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</row>
    <row r="919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</row>
    <row r="920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</row>
    <row r="921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</row>
    <row r="92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</row>
    <row r="92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</row>
    <row r="924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</row>
    <row r="925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</row>
    <row r="926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</row>
    <row r="927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</row>
    <row r="928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</row>
    <row r="929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</row>
    <row r="930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</row>
    <row r="931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</row>
    <row r="93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</row>
    <row r="93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</row>
    <row r="934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</row>
    <row r="935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</row>
    <row r="936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</row>
    <row r="937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</row>
    <row r="938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</row>
    <row r="939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</row>
    <row r="940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</row>
    <row r="941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</row>
    <row r="94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</row>
    <row r="94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</row>
    <row r="944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</row>
    <row r="945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</row>
    <row r="946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</row>
    <row r="947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</row>
    <row r="948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</row>
    <row r="949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</row>
    <row r="950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</row>
    <row r="951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</row>
    <row r="95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</row>
    <row r="95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</row>
    <row r="954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</row>
    <row r="955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</row>
    <row r="956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</row>
    <row r="957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</row>
    <row r="958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</row>
    <row r="959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</row>
    <row r="960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</row>
    <row r="961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</row>
    <row r="96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</row>
    <row r="96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</row>
    <row r="964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</row>
    <row r="965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</row>
    <row r="966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</row>
    <row r="967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</row>
    <row r="968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</row>
    <row r="969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</row>
    <row r="970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</row>
    <row r="971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</row>
    <row r="97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</row>
    <row r="97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</row>
    <row r="974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</row>
    <row r="975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</row>
    <row r="976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</row>
    <row r="977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</row>
    <row r="978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</row>
    <row r="979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</row>
    <row r="980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</row>
    <row r="981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</row>
    <row r="9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</row>
    <row r="9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</row>
    <row r="984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</row>
    <row r="985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</row>
    <row r="986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</row>
    <row r="987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</row>
    <row r="988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</row>
    <row r="989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</row>
    <row r="990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</row>
    <row r="991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</row>
    <row r="99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</row>
    <row r="99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</row>
    <row r="994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</row>
    <row r="995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2026-08-07T10:22:42Z</dcterms:created>
  <dcterms:modified xsi:type="dcterms:W3CDTF">2026-08-07T12:45:40Z</dcterms:modified>
</cp:coreProperties>
</file>