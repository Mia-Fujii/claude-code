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い方" sheetId="1" state="visible" r:id="rId1"/>
    <sheet name="基本設定" sheetId="2" state="visible" r:id="rId2"/>
    <sheet name="タスク管理" sheetId="3" state="visible" r:id="rId3"/>
    <sheet name="メールテンプレート" sheetId="4" state="visible" r:id="rId4"/>
  </sheets>
  <definedNames>
    <definedName name="_xlnm._FilterDatabase" localSheetId="2" hidden="1">'タスク管理'!$A$1:$Z$29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&quot;月&quot;d&quot;日（&quot;ddd&quot;）&quot;"/>
  </numFmts>
  <fonts count="16">
    <font>
      <name val="Arial"/>
      <color rgb="FF000000"/>
      <sz val="10"/>
      <scheme val="minor"/>
    </font>
    <font>
      <name val="Arial"/>
      <b val="1"/>
      <color theme="1"/>
    </font>
    <font>
      <name val="Google Sans Text"/>
      <b val="1"/>
      <color rgb="FF1F1F1F"/>
    </font>
    <font>
      <name val="Arial"/>
      <color theme="1"/>
      <scheme val="minor"/>
    </font>
    <font>
      <name val="Arial"/>
      <color theme="1"/>
    </font>
    <font>
      <name val="Montserrat"/>
      <b val="1"/>
      <color rgb="FFFFFFFF"/>
      <sz val="11"/>
    </font>
    <font>
      <name val="Google Sans Text"/>
      <color rgb="FF1F1F1F"/>
    </font>
    <font>
      <name val="Arial"/>
      <color rgb="FF1155CC"/>
      <u val="single"/>
    </font>
    <font>
      <name val="Roboto"/>
      <color theme="1"/>
    </font>
    <font>
      <name val="Arial"/>
      <b val="1"/>
      <color rgb="001F3864"/>
      <sz val="16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12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3A5F8F"/>
        <bgColor rgb="FF3A5F8F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164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4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pivotButton="0" quotePrefix="0" xfId="0"/>
    <xf numFmtId="0" fontId="4" fillId="3" borderId="0" applyAlignment="1" pivotButton="0" quotePrefix="0" xfId="0">
      <alignment vertical="center"/>
    </xf>
    <xf numFmtId="16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164" fontId="4" fillId="4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8" fillId="6" borderId="0" applyAlignment="1" pivotButton="0" quotePrefix="0" xfId="0">
      <alignment vertical="center"/>
    </xf>
    <xf numFmtId="164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0" fontId="8" fillId="7" borderId="0" applyAlignment="1" pivotButton="0" quotePrefix="0" xfId="0">
      <alignment vertical="center"/>
    </xf>
    <xf numFmtId="0" fontId="6" fillId="0" borderId="0" pivotButton="0" quotePrefix="0" xfId="0"/>
    <xf numFmtId="0" fontId="8" fillId="7" borderId="0" applyAlignment="1" pivotButton="0" quotePrefix="0" xfId="0">
      <alignment vertical="center"/>
    </xf>
    <xf numFmtId="20" fontId="6" fillId="0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164" fontId="4" fillId="0" borderId="0" pivotButton="0" quotePrefix="0" xfId="0"/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8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3A5F8F"/>
          <bgColor rgb="FF3A5F8F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メールテンプレート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system</author>
  </authors>
  <commentList>
    <comment ref="M1" authorId="0" shapeId="0">
      <text>
        <t>選択肢：若菜グルコン共通 / 若菜マンデー共通 / 個別 / 未定(サポート講師待ち) / Zoomなし
GASはこの値を見てZoomリンクの取得元を決めます。</t>
      </text>
    </comment>
    <comment ref="P1" authorId="0" shapeId="0">
      <text>
        <t>={{変数名}} は基本設定シートの該当値を自動参照。
直接URLを書くこともできます。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E1" authorId="0" shapeId="0">
      <text>
        <t>テンプレ内の {{zoomリンク}} は、GAS実行時に「タスク管理」シートのZoomソースに従って
自動で解決されます（若菜グルコン共通 / 若菜マンデー共通 / 個別 / 未定）。
この列は基本空でOK。テンプレ固有のURLを埋め込みたいときだけ使う。</t>
      </text>
    </comment>
  </commentList>
</comments>
</file>

<file path=xl/tables/table1.xml><?xml version="1.0" encoding="utf-8"?>
<table xmlns="http://schemas.openxmlformats.org/spreadsheetml/2006/main" id="1" name="Table_1" displayName="Table_1" ref="A1:E17" headerRowCount="1">
  <tableColumns count="5">
    <tableColumn id="1" name="講義内容"/>
    <tableColumn id="2" name="タイミング"/>
    <tableColumn id="3" name="件名"/>
    <tableColumn id="4" name="本文"/>
    <tableColumn id="5" name="zoomリンク"/>
  </tableColumns>
  <tableStyleInfo name="メールテンプレート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" customWidth="1" style="31" min="1" max="1"/>
    <col width="26" customWidth="1" style="31" min="2" max="2"/>
    <col width="100" customWidth="1" style="31" min="3" max="3"/>
  </cols>
  <sheetData>
    <row r="2">
      <c r="B2" s="32" t="inlineStr">
        <is>
          <t>Shine A Light 20期 自動化マスタ</t>
        </is>
      </c>
    </row>
    <row r="3" ht="22" customHeight="1" s="31">
      <c r="B3" s="33" t="inlineStr"/>
      <c r="C3" s="34" t="inlineStr"/>
    </row>
    <row r="4" ht="45" customHeight="1" s="31">
      <c r="B4" s="33" t="inlineStr">
        <is>
          <t>このファイルの位置づけ</t>
        </is>
      </c>
      <c r="C4" s="34" t="inlineStr">
        <is>
          <t>20期の講座運営を、Gmail下書き自動作成＋Chatwork通知＋フォーム自動開閉で
回すためのマスタデータです。GAS（Google Apps Script）がこのファイルを毎朝読んで動きます。</t>
        </is>
      </c>
    </row>
    <row r="5" ht="22" customHeight="1" s="31">
      <c r="B5" s="33" t="inlineStr"/>
      <c r="C5" s="34" t="inlineStr"/>
    </row>
    <row r="6" ht="22" customHeight="1" s="31">
      <c r="B6" s="33" t="inlineStr">
        <is>
          <t>シート構成</t>
        </is>
      </c>
      <c r="C6" s="34" t="inlineStr"/>
    </row>
    <row r="7" ht="45" customHeight="1" s="31">
      <c r="B7" s="33" t="inlineStr">
        <is>
          <t>① 基本設定</t>
        </is>
      </c>
      <c r="C7" s="34" t="inlineStr">
        <is>
          <t>全メール共通で使う値（会員サイト、Zoomプール、フォームURL、Chatwork設定、署名 など）。
期をまたいで基本変わらない値の置き場。</t>
        </is>
      </c>
    </row>
    <row r="8" ht="45" customHeight="1" s="31">
      <c r="B8" s="33" t="inlineStr">
        <is>
          <t>② タスク管理</t>
        </is>
      </c>
      <c r="C8" s="34" t="inlineStr">
        <is>
          <t>20期の全イベントを1行1件で管理（29件入力済み）。
GASが毎朝ここを読んで「今日は各イベントの何のメール送信日か」を判定します。</t>
        </is>
      </c>
    </row>
    <row r="9" ht="45" customHeight="1" s="31">
      <c r="B9" s="33" t="inlineStr">
        <is>
          <t>③ メールテンプレート</t>
        </is>
      </c>
      <c r="C9" s="34" t="inlineStr">
        <is>
          <t>イベント種別 × タイミング（3日前／前日／当日／アーカイブ など）ごとの雛形。
{{差込項目}} が自動置換されます。</t>
        </is>
      </c>
    </row>
    <row r="10" ht="22" customHeight="1" s="31">
      <c r="B10" s="33" t="inlineStr"/>
      <c r="C10" s="34" t="inlineStr"/>
    </row>
    <row r="11" ht="22" customHeight="1" s="31">
      <c r="B11" s="33" t="inlineStr">
        <is>
          <t>色分けルール</t>
        </is>
      </c>
      <c r="C11" s="34" t="inlineStr"/>
    </row>
    <row r="12" ht="22" customHeight="1" s="31">
      <c r="B12" s="33" t="inlineStr">
        <is>
          <t>🟡 黄色セル</t>
        </is>
      </c>
      <c r="C12" s="34" t="inlineStr">
        <is>
          <t>あなたが埋める場所（Zoomリンク、フォームURL、Chatwork設定など）</t>
        </is>
      </c>
    </row>
    <row r="13" ht="22" customHeight="1" s="31">
      <c r="B13" s="33" t="inlineStr">
        <is>
          <t>🟢 緑セル</t>
        </is>
      </c>
      <c r="C13" s="34" t="inlineStr">
        <is>
          <t>今回私が追加した列／行（既存データを触らず追加）</t>
        </is>
      </c>
    </row>
    <row r="14" ht="22" customHeight="1" s="31">
      <c r="B14" s="33" t="inlineStr">
        <is>
          <t>🩶 灰色セル</t>
        </is>
      </c>
      <c r="C14" s="34" t="inlineStr">
        <is>
          <t>自動計算・参照専用（触らない）</t>
        </is>
      </c>
    </row>
    <row r="15" ht="22" customHeight="1" s="31">
      <c r="B15" s="33" t="inlineStr">
        <is>
          <t>⬜ 白セル</t>
        </is>
      </c>
      <c r="C15" s="34" t="inlineStr">
        <is>
          <t>既存のデータ（あなたが元々埋めていた場所）</t>
        </is>
      </c>
    </row>
    <row r="16" ht="22" customHeight="1" s="31">
      <c r="B16" s="33" t="inlineStr"/>
      <c r="C16" s="34" t="inlineStr"/>
    </row>
    <row r="17" ht="22" customHeight="1" s="31">
      <c r="B17" s="33" t="inlineStr">
        <is>
          <t>最初にやること</t>
        </is>
      </c>
      <c r="C17" s="34" t="inlineStr"/>
    </row>
    <row r="18" ht="70" customHeight="1" s="31">
      <c r="B18" s="33" t="inlineStr">
        <is>
          <t>① 基本設定 の🟡を埋める</t>
        </is>
      </c>
      <c r="C18" s="34" t="inlineStr">
        <is>
          <t>・グルコン共通ZoomURL＋ミーティングID（若菜先生のグルコン専用リンク）
・キャッチアップマンデー共通ZoomURL＋ID（若菜先生のマンデー専用リンク）
・グルコン／ビギナー／課題作業会 事前フォームURL（3本）
・Chatwork APIトークン＋ルームID＋メンション先
・送信元アドレス</t>
        </is>
      </c>
    </row>
    <row r="19" ht="70" customHeight="1" s="31">
      <c r="B19" s="33" t="inlineStr">
        <is>
          <t>② タスク管理 のZoomソース列（🟢）を確認</t>
        </is>
      </c>
      <c r="C19" s="34" t="inlineStr">
        <is>
          <t>自動で設定済み。以下ルールで自動判定しています：
・グルコン → 「若菜グルコン共通」
・キャッチアップマンデー → 「若菜マンデー共通」
・キャッチアップウェンズデー／サポート講師ビギナーグルコン → 「未定（サポート講師待ち）」
・オリエンテーション／課題作業会 → 「個別」（別途Zoomリンク列に直接入力）
・動画配信 → 「Zoomなし」</t>
        </is>
      </c>
    </row>
    <row r="20" ht="45" customHeight="1" s="31">
      <c r="B20" s="33" t="inlineStr">
        <is>
          <t>③ メールテンプレート を読んで直したい部分だけ調整</t>
        </is>
      </c>
      <c r="C20" s="34" t="inlineStr">
        <is>
          <t>19期の実データを元に本文込みで埋めておきました。
文言を変えたい箇所があれば直してOK（既存のオリエンテーション3本はそのまま残しています）。</t>
        </is>
      </c>
    </row>
    <row r="21" ht="22" customHeight="1" s="31">
      <c r="B21" s="33" t="inlineStr"/>
      <c r="C21" s="34" t="inlineStr"/>
    </row>
    <row r="22" ht="45" customHeight="1" s="31">
      <c r="B22" s="33" t="inlineStr">
        <is>
          <t>Step 2（次回）</t>
        </is>
      </c>
      <c r="C22" s="34" t="inlineStr">
        <is>
          <t>このファイルがGoogleスプレッドシートにアップロードされ、内容が確認できたら、
GASコードを書きます。まずはグルコン系（一番数が多い）だけで動かして、動作確認後に他を追加。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2.63" defaultRowHeight="15.75" customHeight="1"/>
  <cols>
    <col width="32" customWidth="1" style="31" min="1" max="1"/>
    <col width="70" customWidth="1" style="31" min="2" max="2"/>
    <col width="30" customWidth="1" style="31" min="3" max="3"/>
  </cols>
  <sheetData>
    <row r="1">
      <c r="A1" s="1" t="inlineStr">
        <is>
          <t>項目</t>
        </is>
      </c>
      <c r="B1" s="1" t="inlineStr">
        <is>
          <t>設定値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2" t="inlineStr">
        <is>
          <t>期</t>
        </is>
      </c>
      <c r="B2" s="14" t="inlineStr">
        <is>
          <t>20期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2" t="inlineStr">
        <is>
          <t>会員サイト</t>
        </is>
      </c>
      <c r="B3" s="14" t="inlineStr">
        <is>
          <t>【会員サイト】
こちらからログイン＞＞
https://hotmart.com/en/club/shinealight-xpvyol/products/2188687
会員サイトのアクセス方法（スマホ版）
https://vimeo.com/1196532375/9eb026c49b?share=copy&amp;fl=sv&amp;fe=ci
会員サイトのアクセス方法　（パソコン版）
https://vimeo.com/1196532358/66a42376ec?share=copy&amp;fl=sv&amp;fe=ci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2" t="n"/>
      <c r="B4" s="18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第1回目動画配信日</t>
        </is>
      </c>
      <c r="B5" s="18">
        <f t="array" ref="B5">TEXT(XLOOKUP("第1回 動画配信", 'タスク管理'!$A$2:$A$29, 'タスク管理'!$B$2:$B$29), "m月d日(aaa)")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2" t="inlineStr">
        <is>
          <t>第1回動画配信3日後</t>
        </is>
      </c>
      <c r="B6" s="3">
        <f t="array" ref="B6">TEXT(XLOOKUP("第1回 動画配信", 'タスク管理'!$A$2:$A$29, 'タスク管理'!$B$2:$B$29) + 3, "m月d日(aaa)")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5" t="inlineStr">
        <is>
          <t>── Zoomリンク・プール（共通Zoom用）──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6" t="inlineStr">
        <is>
          <t>グルコン共通ZoomURL</t>
        </is>
      </c>
      <c r="B9" s="37" t="inlineStr"/>
      <c r="C9" s="38" t="inlineStr">
        <is>
          <t>🟡 若菜先生グルコン全回で使う1本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6" t="inlineStr">
        <is>
          <t>グルコン共通ミーティングID</t>
        </is>
      </c>
      <c r="B10" s="37" t="inlineStr"/>
      <c r="C10" s="38" t="inlineStr">
        <is>
          <t>🟡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6" t="inlineStr">
        <is>
          <t>キャッチアップマンデー共通ZoomURL</t>
        </is>
      </c>
      <c r="B11" s="37" t="inlineStr"/>
      <c r="C11" s="38" t="inlineStr">
        <is>
          <t>🟡 若菜先生マンデー全回で使う1本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6" t="inlineStr">
        <is>
          <t>キャッチアップマンデー共通ミーティングID</t>
        </is>
      </c>
      <c r="B12" s="37" t="inlineStr"/>
      <c r="C12" s="38" t="inlineStr">
        <is>
          <t>🟡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6" t="inlineStr">
        <is>
          <t>オリエンテーションZoomURL</t>
        </is>
      </c>
      <c r="B13" s="37" t="inlineStr">
        <is>
          <t>https://us02web.zoom.us/j/82603439180</t>
        </is>
      </c>
      <c r="C13" s="38" t="inlineStr">
        <is>
          <t>既存テンプレから移設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6" t="inlineStr">
        <is>
          <t>オリエンテーションミーティングID</t>
        </is>
      </c>
      <c r="B14" s="37" t="inlineStr">
        <is>
          <t>826 0343 9180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5" t="inlineStr">
        <is>
          <t>── 事前フォームURL ──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6" t="inlineStr">
        <is>
          <t>グルコン事前フォームURL</t>
        </is>
      </c>
      <c r="B16" s="37" t="inlineStr"/>
      <c r="C16" s="38" t="inlineStr">
        <is>
          <t>🟡 若菜グルコン用アンケート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6" t="inlineStr">
        <is>
          <t>ビギナーグルコン事前フォームURL</t>
        </is>
      </c>
      <c r="B17" s="37" t="inlineStr"/>
      <c r="C17" s="38" t="inlineStr">
        <is>
          <t>🟡 サポート講師ビギナーグルコン用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6" t="inlineStr">
        <is>
          <t>課題作業会事前フォームURL</t>
        </is>
      </c>
      <c r="B18" s="37" t="inlineStr"/>
      <c r="C18" s="38" t="inlineStr">
        <is>
          <t>🟡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5" t="inlineStr">
        <is>
          <t>── Chatwork設定 ──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6" t="inlineStr">
        <is>
          <t>Chatwork APIトークン</t>
        </is>
      </c>
      <c r="B20" s="37" t="inlineStr"/>
      <c r="C20" s="38" t="inlineStr">
        <is>
          <t>🟡 Chatwork設定＞API から取得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6" t="inlineStr">
        <is>
          <t>Chatwork ルームID(事務局)</t>
        </is>
      </c>
      <c r="B21" s="37" t="inlineStr"/>
      <c r="C21" s="38" t="inlineStr">
        <is>
          <t>🟡 通知投稿先ルームのID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6" t="inlineStr">
        <is>
          <t>Chatwork メンション先</t>
        </is>
      </c>
      <c r="B22" s="37" t="inlineStr"/>
      <c r="C22" s="38" t="inlineStr">
        <is>
          <t>🟡 例：[To:1234567] みあさん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5" t="inlineStr">
        <is>
          <t>── 差出人・署名 ──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6" t="inlineStr">
        <is>
          <t>事務局差出人名</t>
        </is>
      </c>
      <c r="B24" s="37" t="inlineStr">
        <is>
          <t>Shine A Light 運営事務局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6" t="inlineStr">
        <is>
          <t>事務局アドレス</t>
        </is>
      </c>
      <c r="B25" s="37" t="inlineStr"/>
      <c r="C25" s="38" t="inlineStr">
        <is>
          <t>🟡 実際の送信元アドレス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6" t="inlineStr">
        <is>
          <t>共通署名(本文末尾)</t>
        </is>
      </c>
      <c r="B26" s="37" t="inlineStr">
        <is>
          <t>---
Shine A Light 運営事務局
Mail: your-office@example.com</t>
        </is>
      </c>
      <c r="C26" s="38" t="inlineStr">
        <is>
          <t>🟡 実運用に合わせて調整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5" t="inlineStr">
        <is>
          <t>── GAS実行時刻 ──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6" t="inlineStr">
        <is>
          <t>下書き作成時刻</t>
        </is>
      </c>
      <c r="B28" s="37" t="inlineStr">
        <is>
          <t>07:00</t>
        </is>
      </c>
      <c r="C28" s="38" t="inlineStr">
        <is>
          <t>毎朝この時刻にGASが動く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</sheetData>
  <mergeCells count="5">
    <mergeCell ref="A19:C19"/>
    <mergeCell ref="A23:C23"/>
    <mergeCell ref="A8:C8"/>
    <mergeCell ref="A27:C27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0.38" customWidth="1" style="31" min="1" max="1"/>
    <col width="24.75" customWidth="1" style="31" min="11" max="11"/>
    <col width="10" customWidth="1" style="31" min="12" max="12"/>
    <col width="22" customWidth="1" style="31" min="13" max="13"/>
    <col width="40" customWidth="1" style="31" min="14" max="14"/>
    <col width="18" customWidth="1" style="31" min="15" max="15"/>
    <col width="40" customWidth="1" style="31" min="16" max="16"/>
    <col width="12" customWidth="1" style="31" min="17" max="17"/>
  </cols>
  <sheetData>
    <row r="1">
      <c r="A1" s="2" t="inlineStr">
        <is>
          <t>内容</t>
        </is>
      </c>
      <c r="B1" s="4" t="inlineStr">
        <is>
          <t>日程</t>
        </is>
      </c>
      <c r="C1" s="2" t="inlineStr">
        <is>
          <t>時間</t>
        </is>
      </c>
      <c r="D1" s="2" t="inlineStr">
        <is>
          <t>担当者</t>
        </is>
      </c>
      <c r="E1" s="5" t="inlineStr">
        <is>
          <t>メールセット</t>
        </is>
      </c>
      <c r="F1" s="6" t="inlineStr">
        <is>
          <t>メール3日前</t>
        </is>
      </c>
      <c r="G1" s="6" t="inlineStr">
        <is>
          <t>メール前日</t>
        </is>
      </c>
      <c r="H1" s="6" t="inlineStr">
        <is>
          <t>質問まとめ</t>
        </is>
      </c>
      <c r="I1" s="6" t="inlineStr">
        <is>
          <t>メール当日</t>
        </is>
      </c>
      <c r="J1" s="6" t="inlineStr">
        <is>
          <t>アーカイブ送付</t>
        </is>
      </c>
      <c r="K1" s="9" t="inlineStr">
        <is>
          <t>会員サイト（アーカイブ用）</t>
        </is>
      </c>
      <c r="L1" s="39" t="inlineStr">
        <is>
          <t>ID</t>
        </is>
      </c>
      <c r="M1" s="39" t="inlineStr">
        <is>
          <t>Zoomソース</t>
        </is>
      </c>
      <c r="N1" s="39" t="inlineStr">
        <is>
          <t>Zoomリンク</t>
        </is>
      </c>
      <c r="O1" s="39" t="inlineStr">
        <is>
          <t>ミーティングID</t>
        </is>
      </c>
      <c r="P1" s="39" t="inlineStr">
        <is>
          <t>事前フォームURL</t>
        </is>
      </c>
      <c r="Q1" s="39" t="inlineStr">
        <is>
          <t>ステータス</t>
        </is>
      </c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26" t="inlineStr">
        <is>
          <t>オリエンテーション</t>
        </is>
      </c>
      <c r="B2" s="15" t="n">
        <v>46183</v>
      </c>
      <c r="C2" s="16" t="inlineStr">
        <is>
          <t>21:00〜22:00</t>
        </is>
      </c>
      <c r="D2" s="16" t="inlineStr">
        <is>
          <t>若菜先生</t>
        </is>
      </c>
      <c r="E2" s="20">
        <f>G2-3</f>
        <v/>
      </c>
      <c r="F2" s="21" t="inlineStr">
        <is>
          <t>-</t>
        </is>
      </c>
      <c r="G2" s="23">
        <f>B2-1</f>
        <v/>
      </c>
      <c r="H2" s="24" t="inlineStr">
        <is>
          <t>-</t>
        </is>
      </c>
      <c r="I2" s="23">
        <f>B2</f>
        <v/>
      </c>
      <c r="J2" s="20">
        <f>IF(TIMEVALUE(LEFT(C2, FIND("〜", C2&amp;"〜")-1)) &gt; TIME(13, 0, 0), B2+1, B2)</f>
        <v/>
      </c>
      <c r="K2" s="10" t="n"/>
      <c r="L2" s="40" t="inlineStr">
        <is>
          <t>E001</t>
        </is>
      </c>
      <c r="M2" s="37" t="inlineStr">
        <is>
          <t>個別</t>
        </is>
      </c>
      <c r="N2" s="41" t="inlineStr">
        <is>
          <t>https://us02web.zoom.us/j/82603439180</t>
        </is>
      </c>
      <c r="O2" s="41" t="inlineStr">
        <is>
          <t>826 0343 9180</t>
        </is>
      </c>
      <c r="P2" s="37" t="inlineStr"/>
      <c r="Q2" s="41" t="inlineStr">
        <is>
          <t>未実施</t>
        </is>
      </c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26" t="inlineStr">
        <is>
          <t>第1回 動画配信</t>
        </is>
      </c>
      <c r="B3" s="15" t="n">
        <v>46188</v>
      </c>
      <c r="C3" s="28" t="n">
        <v>0.2916666666666667</v>
      </c>
      <c r="D3" s="16" t="inlineStr">
        <is>
          <t>メールのみ</t>
        </is>
      </c>
      <c r="E3" s="29">
        <f>I3-3</f>
        <v/>
      </c>
      <c r="F3" s="21" t="inlineStr">
        <is>
          <t>-</t>
        </is>
      </c>
      <c r="G3" s="21" t="inlineStr">
        <is>
          <t>-</t>
        </is>
      </c>
      <c r="H3" s="24" t="inlineStr">
        <is>
          <t>-</t>
        </is>
      </c>
      <c r="I3" s="23">
        <f>B3</f>
        <v/>
      </c>
      <c r="J3" s="24" t="inlineStr">
        <is>
          <t>-</t>
        </is>
      </c>
      <c r="K3" s="10" t="n"/>
      <c r="L3" s="40" t="inlineStr">
        <is>
          <t>E002</t>
        </is>
      </c>
      <c r="M3" s="37" t="inlineStr">
        <is>
          <t>Zoomなし</t>
        </is>
      </c>
      <c r="N3" s="41" t="n"/>
      <c r="O3" s="41" t="n"/>
      <c r="P3" s="37" t="inlineStr"/>
      <c r="Q3" s="41" t="inlineStr">
        <is>
          <t>未実施</t>
        </is>
      </c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26" t="inlineStr">
        <is>
          <t>キャッチアップウェンズデー</t>
        </is>
      </c>
      <c r="B4" s="15" t="n">
        <v>46190</v>
      </c>
      <c r="C4" s="16" t="inlineStr">
        <is>
          <t>9:30〜11:00</t>
        </is>
      </c>
      <c r="D4" s="16" t="inlineStr">
        <is>
          <t>神保麻紀先生</t>
        </is>
      </c>
      <c r="E4" s="20">
        <f>G4-2</f>
        <v/>
      </c>
      <c r="F4" s="21" t="inlineStr">
        <is>
          <t>-</t>
        </is>
      </c>
      <c r="G4" s="23">
        <f>B4-1</f>
        <v/>
      </c>
      <c r="H4" s="24" t="inlineStr">
        <is>
          <t>-</t>
        </is>
      </c>
      <c r="I4" s="23">
        <f>B4</f>
        <v/>
      </c>
      <c r="J4" s="20">
        <f>IF(TIMEVALUE(LEFT(C4, FIND("〜", C4&amp;"〜")-1)) &gt; TIME(13, 0, 0), B4+1, B4)</f>
        <v/>
      </c>
      <c r="K4" s="10" t="n"/>
      <c r="L4" s="40" t="inlineStr">
        <is>
          <t>E003</t>
        </is>
      </c>
      <c r="M4" s="37" t="inlineStr">
        <is>
          <t>未定(サポート講師待ち)</t>
        </is>
      </c>
      <c r="N4" s="41" t="n"/>
      <c r="O4" s="41" t="n"/>
      <c r="P4" s="37" t="inlineStr"/>
      <c r="Q4" s="41" t="inlineStr">
        <is>
          <t>未実施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26" t="inlineStr">
        <is>
          <t>サポート講師ビギナーグルコン</t>
        </is>
      </c>
      <c r="B5" s="15" t="n">
        <v>46192</v>
      </c>
      <c r="C5" s="16" t="inlineStr">
        <is>
          <t>21:00〜22:00</t>
        </is>
      </c>
      <c r="D5" s="16" t="inlineStr">
        <is>
          <t>田中恵美子先生</t>
        </is>
      </c>
      <c r="E5" s="20">
        <f>F5-2</f>
        <v/>
      </c>
      <c r="F5" s="23">
        <f>B5-3</f>
        <v/>
      </c>
      <c r="G5" s="23">
        <f>B5-1</f>
        <v/>
      </c>
      <c r="H5" s="20">
        <f>G5</f>
        <v/>
      </c>
      <c r="I5" s="23">
        <f>B5</f>
        <v/>
      </c>
      <c r="J5" s="20">
        <f>IF(TIMEVALUE(LEFT(C5, FIND("〜", C5&amp;"〜")-1)) &gt; TIME(13, 0, 0), B5+1, B5)</f>
        <v/>
      </c>
      <c r="K5" s="10" t="n"/>
      <c r="L5" s="40" t="inlineStr">
        <is>
          <t>E004</t>
        </is>
      </c>
      <c r="M5" s="37" t="inlineStr">
        <is>
          <t>未定(サポート講師待ち)</t>
        </is>
      </c>
      <c r="N5" s="41" t="n"/>
      <c r="O5" s="41" t="n"/>
      <c r="P5" s="37">
        <f>{{ビギナーグルコン事前フォームURL}}</f>
        <v/>
      </c>
      <c r="Q5" s="41" t="inlineStr">
        <is>
          <t>未実施</t>
        </is>
      </c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26" t="inlineStr">
        <is>
          <t>キャッチアップマンデー</t>
        </is>
      </c>
      <c r="B6" s="15" t="n">
        <v>46195</v>
      </c>
      <c r="C6" s="16" t="inlineStr">
        <is>
          <t>10:30〜12:00</t>
        </is>
      </c>
      <c r="D6" s="16" t="inlineStr">
        <is>
          <t>若菜先生</t>
        </is>
      </c>
      <c r="E6" s="20">
        <f>G6-3</f>
        <v/>
      </c>
      <c r="F6" s="21" t="inlineStr">
        <is>
          <t>-</t>
        </is>
      </c>
      <c r="G6" s="23">
        <f>B6-1</f>
        <v/>
      </c>
      <c r="H6" s="24" t="inlineStr">
        <is>
          <t>-</t>
        </is>
      </c>
      <c r="I6" s="23">
        <f>B6</f>
        <v/>
      </c>
      <c r="J6" s="20">
        <f>IF(TIMEVALUE(LEFT(C6, FIND("〜", C6&amp;"〜")-1)) &gt; TIME(13, 0, 0), B6+1, B6)</f>
        <v/>
      </c>
      <c r="K6" s="10" t="n"/>
      <c r="L6" s="40" t="inlineStr">
        <is>
          <t>E005</t>
        </is>
      </c>
      <c r="M6" s="37" t="inlineStr">
        <is>
          <t>若菜マンデー共通</t>
        </is>
      </c>
      <c r="N6" s="41" t="n"/>
      <c r="O6" s="41" t="n"/>
      <c r="P6" s="37" t="inlineStr"/>
      <c r="Q6" s="41" t="inlineStr">
        <is>
          <t>未実施</t>
        </is>
      </c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26" t="inlineStr">
        <is>
          <t>グルコン</t>
        </is>
      </c>
      <c r="B7" s="15" t="n">
        <v>46198</v>
      </c>
      <c r="C7" s="16" t="inlineStr">
        <is>
          <t>10:00〜11:00</t>
        </is>
      </c>
      <c r="D7" s="16" t="inlineStr">
        <is>
          <t>若菜先生</t>
        </is>
      </c>
      <c r="E7" s="20">
        <f>F7-3</f>
        <v/>
      </c>
      <c r="F7" s="23">
        <f>B7-3</f>
        <v/>
      </c>
      <c r="G7" s="23">
        <f>B7-1</f>
        <v/>
      </c>
      <c r="H7" s="20">
        <f>G7</f>
        <v/>
      </c>
      <c r="I7" s="23">
        <f>B7</f>
        <v/>
      </c>
      <c r="J7" s="20">
        <f>IF(TIMEVALUE(LEFT(C7, FIND("〜", C7&amp;"〜")-1)) &gt; TIME(13, 0, 0), B7+1, B7)</f>
        <v/>
      </c>
      <c r="K7" s="10" t="n"/>
      <c r="L7" s="40" t="inlineStr">
        <is>
          <t>E006</t>
        </is>
      </c>
      <c r="M7" s="37" t="inlineStr">
        <is>
          <t>若菜グルコン共通</t>
        </is>
      </c>
      <c r="N7" s="41" t="n"/>
      <c r="O7" s="41" t="n"/>
      <c r="P7" s="37">
        <f>{{グルコン事前フォームURL}}</f>
        <v/>
      </c>
      <c r="Q7" s="41" t="inlineStr">
        <is>
          <t>未実施</t>
        </is>
      </c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26" t="inlineStr">
        <is>
          <t>第2回 動画配信</t>
        </is>
      </c>
      <c r="B8" s="15" t="n">
        <v>46202</v>
      </c>
      <c r="C8" s="28" t="n">
        <v>0.2916666666666667</v>
      </c>
      <c r="D8" s="16" t="inlineStr">
        <is>
          <t>メールのみ</t>
        </is>
      </c>
      <c r="E8" s="29">
        <f>I8-3</f>
        <v/>
      </c>
      <c r="F8" s="21" t="inlineStr">
        <is>
          <t>-</t>
        </is>
      </c>
      <c r="G8" s="21" t="inlineStr">
        <is>
          <t>-</t>
        </is>
      </c>
      <c r="H8" s="24" t="inlineStr">
        <is>
          <t>-</t>
        </is>
      </c>
      <c r="I8" s="23">
        <f>B8</f>
        <v/>
      </c>
      <c r="J8" s="24" t="inlineStr">
        <is>
          <t>-</t>
        </is>
      </c>
      <c r="K8" s="10" t="n"/>
      <c r="L8" s="40" t="inlineStr">
        <is>
          <t>E007</t>
        </is>
      </c>
      <c r="M8" s="37" t="inlineStr">
        <is>
          <t>Zoomなし</t>
        </is>
      </c>
      <c r="N8" s="41" t="n"/>
      <c r="O8" s="41" t="n"/>
      <c r="P8" s="37" t="inlineStr"/>
      <c r="Q8" s="41" t="inlineStr">
        <is>
          <t>未実施</t>
        </is>
      </c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26" t="inlineStr">
        <is>
          <t>キャッチアップウェンズデー</t>
        </is>
      </c>
      <c r="B9" s="15" t="n">
        <v>46204</v>
      </c>
      <c r="C9" s="16" t="inlineStr">
        <is>
          <t>20:30〜22:00</t>
        </is>
      </c>
      <c r="D9" s="16" t="inlineStr">
        <is>
          <t>山知雅代先生</t>
        </is>
      </c>
      <c r="E9" s="20">
        <f>G9-2</f>
        <v/>
      </c>
      <c r="F9" s="21" t="inlineStr">
        <is>
          <t>-</t>
        </is>
      </c>
      <c r="G9" s="23">
        <f>B9-1</f>
        <v/>
      </c>
      <c r="H9" s="24" t="inlineStr">
        <is>
          <t>-</t>
        </is>
      </c>
      <c r="I9" s="23">
        <f>B9</f>
        <v/>
      </c>
      <c r="J9" s="20">
        <f>IF(TIMEVALUE(LEFT(C9, FIND("〜", C9&amp;"〜")-1)) &gt; TIME(13, 0, 0), B9+1, B9)</f>
        <v/>
      </c>
      <c r="K9" s="10" t="n"/>
      <c r="L9" s="40" t="inlineStr">
        <is>
          <t>E008</t>
        </is>
      </c>
      <c r="M9" s="37" t="inlineStr">
        <is>
          <t>未定(サポート講師待ち)</t>
        </is>
      </c>
      <c r="N9" s="41" t="n"/>
      <c r="O9" s="41" t="n"/>
      <c r="P9" s="37" t="inlineStr"/>
      <c r="Q9" s="41" t="inlineStr">
        <is>
          <t>未実施</t>
        </is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26" t="inlineStr">
        <is>
          <t>キャッチアップマンデー</t>
        </is>
      </c>
      <c r="B10" s="15" t="n">
        <v>46209</v>
      </c>
      <c r="C10" s="16" t="inlineStr">
        <is>
          <t>10:30〜12:00</t>
        </is>
      </c>
      <c r="D10" s="16" t="inlineStr">
        <is>
          <t>若菜先生</t>
        </is>
      </c>
      <c r="E10" s="20">
        <f>G10-3</f>
        <v/>
      </c>
      <c r="F10" s="21" t="inlineStr">
        <is>
          <t>-</t>
        </is>
      </c>
      <c r="G10" s="23">
        <f>B10-1</f>
        <v/>
      </c>
      <c r="H10" s="24" t="inlineStr">
        <is>
          <t>-</t>
        </is>
      </c>
      <c r="I10" s="23">
        <f>B10</f>
        <v/>
      </c>
      <c r="J10" s="20">
        <f>IF(TIMEVALUE(LEFT(C10, FIND("〜", C10&amp;"〜")-1)) &gt; TIME(13, 0, 0), B10+1, B10)</f>
        <v/>
      </c>
      <c r="K10" s="10" t="n"/>
      <c r="L10" s="40" t="inlineStr">
        <is>
          <t>E009</t>
        </is>
      </c>
      <c r="M10" s="37" t="inlineStr">
        <is>
          <t>若菜マンデー共通</t>
        </is>
      </c>
      <c r="N10" s="41" t="n"/>
      <c r="O10" s="41" t="n"/>
      <c r="P10" s="37" t="inlineStr"/>
      <c r="Q10" s="41" t="inlineStr">
        <is>
          <t>未実施</t>
        </is>
      </c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26" t="inlineStr">
        <is>
          <t>グルコン</t>
        </is>
      </c>
      <c r="B11" s="15" t="n">
        <v>46212</v>
      </c>
      <c r="C11" s="16" t="inlineStr">
        <is>
          <t>10:00〜11:00</t>
        </is>
      </c>
      <c r="D11" s="16" t="inlineStr">
        <is>
          <t>若菜先生</t>
        </is>
      </c>
      <c r="E11" s="20">
        <f>F11-3</f>
        <v/>
      </c>
      <c r="F11" s="23">
        <f>B11-3</f>
        <v/>
      </c>
      <c r="G11" s="23">
        <f>B11-1</f>
        <v/>
      </c>
      <c r="H11" s="20">
        <f>G11</f>
        <v/>
      </c>
      <c r="I11" s="23">
        <f>B11</f>
        <v/>
      </c>
      <c r="J11" s="20">
        <f>IF(TIMEVALUE(LEFT(C11, FIND("〜", C11&amp;"〜")-1)) &gt; TIME(13, 0, 0), B11+1, B11)</f>
        <v/>
      </c>
      <c r="K11" s="10" t="n"/>
      <c r="L11" s="40" t="inlineStr">
        <is>
          <t>E010</t>
        </is>
      </c>
      <c r="M11" s="37" t="inlineStr">
        <is>
          <t>若菜グルコン共通</t>
        </is>
      </c>
      <c r="N11" s="41" t="n"/>
      <c r="O11" s="41" t="n"/>
      <c r="P11" s="37">
        <f>{{グルコン事前フォームURL}}</f>
        <v/>
      </c>
      <c r="Q11" s="41" t="inlineStr">
        <is>
          <t>未実施</t>
        </is>
      </c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26" t="inlineStr">
        <is>
          <t>第3回 動画配信</t>
        </is>
      </c>
      <c r="B12" s="15" t="n">
        <v>46216</v>
      </c>
      <c r="C12" s="28" t="n">
        <v>0.2916666666666667</v>
      </c>
      <c r="D12" s="16" t="inlineStr">
        <is>
          <t>メールのみ</t>
        </is>
      </c>
      <c r="E12" s="29">
        <f>I12-3</f>
        <v/>
      </c>
      <c r="F12" s="21" t="inlineStr">
        <is>
          <t>-</t>
        </is>
      </c>
      <c r="G12" s="21" t="inlineStr">
        <is>
          <t>-</t>
        </is>
      </c>
      <c r="H12" s="24" t="inlineStr">
        <is>
          <t>-</t>
        </is>
      </c>
      <c r="I12" s="23">
        <f>B12</f>
        <v/>
      </c>
      <c r="J12" s="24" t="inlineStr">
        <is>
          <t>-</t>
        </is>
      </c>
      <c r="K12" s="10" t="n"/>
      <c r="L12" s="40" t="inlineStr">
        <is>
          <t>E011</t>
        </is>
      </c>
      <c r="M12" s="37" t="inlineStr">
        <is>
          <t>Zoomなし</t>
        </is>
      </c>
      <c r="N12" s="41" t="n"/>
      <c r="O12" s="41" t="n"/>
      <c r="P12" s="37" t="inlineStr"/>
      <c r="Q12" s="41" t="inlineStr">
        <is>
          <t>未実施</t>
        </is>
      </c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26" t="inlineStr">
        <is>
          <t>キャッチアップウェンズデー</t>
        </is>
      </c>
      <c r="B13" s="15" t="n">
        <v>46218</v>
      </c>
      <c r="C13" s="16" t="inlineStr">
        <is>
          <t>9:30〜11:00</t>
        </is>
      </c>
      <c r="D13" s="16" t="inlineStr">
        <is>
          <t>北島理恵先生</t>
        </is>
      </c>
      <c r="E13" s="20">
        <f>G13-2</f>
        <v/>
      </c>
      <c r="F13" s="21" t="inlineStr">
        <is>
          <t>-</t>
        </is>
      </c>
      <c r="G13" s="23">
        <f>B13-1</f>
        <v/>
      </c>
      <c r="H13" s="24" t="inlineStr">
        <is>
          <t>-</t>
        </is>
      </c>
      <c r="I13" s="23">
        <f>B13</f>
        <v/>
      </c>
      <c r="J13" s="20">
        <f>IF(TIMEVALUE(LEFT(C13, FIND("〜", C13&amp;"〜")-1)) &gt; TIME(13, 0, 0), B13+1, B13)</f>
        <v/>
      </c>
      <c r="K13" s="10" t="n"/>
      <c r="L13" s="40" t="inlineStr">
        <is>
          <t>E012</t>
        </is>
      </c>
      <c r="M13" s="37" t="inlineStr">
        <is>
          <t>未定(サポート講師待ち)</t>
        </is>
      </c>
      <c r="N13" s="41" t="n"/>
      <c r="O13" s="41" t="n"/>
      <c r="P13" s="37" t="inlineStr"/>
      <c r="Q13" s="41" t="inlineStr">
        <is>
          <t>未実施</t>
        </is>
      </c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26" t="inlineStr">
        <is>
          <t>サポート講師ビギナーグルコン</t>
        </is>
      </c>
      <c r="B14" s="15" t="n">
        <v>46220</v>
      </c>
      <c r="C14" s="16" t="inlineStr">
        <is>
          <t>21:00〜22:00</t>
        </is>
      </c>
      <c r="D14" s="16" t="inlineStr">
        <is>
          <t>富田紫先生</t>
        </is>
      </c>
      <c r="E14" s="20">
        <f>F14-2</f>
        <v/>
      </c>
      <c r="F14" s="23">
        <f>B14-3</f>
        <v/>
      </c>
      <c r="G14" s="23">
        <f>B14-1</f>
        <v/>
      </c>
      <c r="H14" s="20">
        <f>G14</f>
        <v/>
      </c>
      <c r="I14" s="23">
        <f>B14</f>
        <v/>
      </c>
      <c r="J14" s="20">
        <f>IF(TIMEVALUE(LEFT(C14, FIND("〜", C14&amp;"〜")-1)) &gt; TIME(13, 0, 0), B14+1, B14)</f>
        <v/>
      </c>
      <c r="K14" s="10" t="n"/>
      <c r="L14" s="40" t="inlineStr">
        <is>
          <t>E013</t>
        </is>
      </c>
      <c r="M14" s="37" t="inlineStr">
        <is>
          <t>未定(サポート講師待ち)</t>
        </is>
      </c>
      <c r="N14" s="41" t="n"/>
      <c r="O14" s="41" t="n"/>
      <c r="P14" s="37">
        <f>{{ビギナーグルコン事前フォームURL}}</f>
        <v/>
      </c>
      <c r="Q14" s="41" t="inlineStr">
        <is>
          <t>未実施</t>
        </is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26" t="inlineStr">
        <is>
          <t>キャッチアップマンデー</t>
        </is>
      </c>
      <c r="B15" s="15" t="n">
        <v>46224</v>
      </c>
      <c r="C15" s="16" t="inlineStr">
        <is>
          <t>20:30〜22:00</t>
        </is>
      </c>
      <c r="D15" s="16" t="inlineStr">
        <is>
          <t>若菜先生</t>
        </is>
      </c>
      <c r="E15" s="20">
        <f>G15-3</f>
        <v/>
      </c>
      <c r="F15" s="21" t="inlineStr">
        <is>
          <t>-</t>
        </is>
      </c>
      <c r="G15" s="23">
        <f>B15-1</f>
        <v/>
      </c>
      <c r="H15" s="24" t="inlineStr">
        <is>
          <t>-</t>
        </is>
      </c>
      <c r="I15" s="23">
        <f>B15</f>
        <v/>
      </c>
      <c r="J15" s="20">
        <f>IF(TIMEVALUE(LEFT(C15, FIND("〜", C15&amp;"〜")-1)) &gt; TIME(13, 0, 0), B15+1, B15)</f>
        <v/>
      </c>
      <c r="K15" s="10" t="n"/>
      <c r="L15" s="40" t="inlineStr">
        <is>
          <t>E014</t>
        </is>
      </c>
      <c r="M15" s="37" t="inlineStr">
        <is>
          <t>若菜マンデー共通</t>
        </is>
      </c>
      <c r="N15" s="41" t="n"/>
      <c r="O15" s="41" t="n"/>
      <c r="P15" s="37" t="inlineStr"/>
      <c r="Q15" s="41" t="inlineStr">
        <is>
          <t>未実施</t>
        </is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26" t="inlineStr">
        <is>
          <t>グルコン</t>
        </is>
      </c>
      <c r="B16" s="15" t="n">
        <v>46227</v>
      </c>
      <c r="C16" s="16" t="inlineStr">
        <is>
          <t>21:00〜22:00</t>
        </is>
      </c>
      <c r="D16" s="16" t="inlineStr">
        <is>
          <t>若菜先生</t>
        </is>
      </c>
      <c r="E16" s="20">
        <f>F16-3</f>
        <v/>
      </c>
      <c r="F16" s="23">
        <f>B16-3</f>
        <v/>
      </c>
      <c r="G16" s="23">
        <f>B16-1</f>
        <v/>
      </c>
      <c r="H16" s="20">
        <f>G16</f>
        <v/>
      </c>
      <c r="I16" s="23">
        <f>B16</f>
        <v/>
      </c>
      <c r="J16" s="20">
        <f>IF(TIMEVALUE(LEFT(C16, FIND("〜", C16&amp;"〜")-1)) &gt; TIME(13, 0, 0), B16+1, B16)</f>
        <v/>
      </c>
      <c r="K16" s="10" t="n"/>
      <c r="L16" s="40" t="inlineStr">
        <is>
          <t>E015</t>
        </is>
      </c>
      <c r="M16" s="37" t="inlineStr">
        <is>
          <t>若菜グルコン共通</t>
        </is>
      </c>
      <c r="N16" s="41" t="n"/>
      <c r="O16" s="41" t="n"/>
      <c r="P16" s="37">
        <f>{{グルコン事前フォームURL}}</f>
        <v/>
      </c>
      <c r="Q16" s="41" t="inlineStr">
        <is>
          <t>未実施</t>
        </is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26" t="inlineStr">
        <is>
          <t>第4回 動画配信</t>
        </is>
      </c>
      <c r="B17" s="15" t="n">
        <v>46230</v>
      </c>
      <c r="C17" s="28" t="n">
        <v>0.2916666666666667</v>
      </c>
      <c r="D17" s="16" t="inlineStr">
        <is>
          <t>メールのみ</t>
        </is>
      </c>
      <c r="E17" s="29">
        <f>I17-3</f>
        <v/>
      </c>
      <c r="F17" s="21" t="inlineStr">
        <is>
          <t>-</t>
        </is>
      </c>
      <c r="G17" s="21" t="inlineStr">
        <is>
          <t>-</t>
        </is>
      </c>
      <c r="H17" s="24" t="inlineStr">
        <is>
          <t>-</t>
        </is>
      </c>
      <c r="I17" s="23">
        <f>B17</f>
        <v/>
      </c>
      <c r="J17" s="24" t="inlineStr">
        <is>
          <t>-</t>
        </is>
      </c>
      <c r="K17" s="10" t="n"/>
      <c r="L17" s="40" t="inlineStr">
        <is>
          <t>E016</t>
        </is>
      </c>
      <c r="M17" s="37" t="inlineStr">
        <is>
          <t>Zoomなし</t>
        </is>
      </c>
      <c r="N17" s="41" t="n"/>
      <c r="O17" s="41" t="n"/>
      <c r="P17" s="37" t="inlineStr"/>
      <c r="Q17" s="41" t="inlineStr">
        <is>
          <t>未実施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26" t="inlineStr">
        <is>
          <t>課題作業会</t>
        </is>
      </c>
      <c r="B18" s="15" t="n">
        <v>46231</v>
      </c>
      <c r="C18" s="16" t="inlineStr">
        <is>
          <t>10:00〜11:00</t>
        </is>
      </c>
      <c r="D18" s="16" t="inlineStr">
        <is>
          <t>山下直子先生</t>
        </is>
      </c>
      <c r="E18" s="20">
        <f>F18-3</f>
        <v/>
      </c>
      <c r="F18" s="23">
        <f>B18-3</f>
        <v/>
      </c>
      <c r="G18" s="23">
        <f>B18-1</f>
        <v/>
      </c>
      <c r="H18" s="20">
        <f>G18</f>
        <v/>
      </c>
      <c r="I18" s="23">
        <f>B18</f>
        <v/>
      </c>
      <c r="J18" s="20">
        <f>IF(TIMEVALUE(LEFT(C18, FIND("〜", C18&amp;"〜")-1)) &gt; TIME(13, 0, 0), B18+1, B18)</f>
        <v/>
      </c>
      <c r="K18" s="10" t="n"/>
      <c r="L18" s="40" t="inlineStr">
        <is>
          <t>E017</t>
        </is>
      </c>
      <c r="M18" s="37" t="inlineStr">
        <is>
          <t>個別</t>
        </is>
      </c>
      <c r="N18" s="41" t="n"/>
      <c r="O18" s="41" t="n"/>
      <c r="P18" s="37">
        <f>{{課題作業会事前フォームURL}}</f>
        <v/>
      </c>
      <c r="Q18" s="41" t="inlineStr">
        <is>
          <t>未実施</t>
        </is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26" t="inlineStr">
        <is>
          <t>キャッチアップウェンズデー</t>
        </is>
      </c>
      <c r="B19" s="15" t="n">
        <v>46232</v>
      </c>
      <c r="C19" s="16" t="inlineStr">
        <is>
          <t>20:30〜22:00</t>
        </is>
      </c>
      <c r="D19" s="16" t="inlineStr">
        <is>
          <t>富田紫先生</t>
        </is>
      </c>
      <c r="E19" s="20">
        <f>G19-2</f>
        <v/>
      </c>
      <c r="F19" s="21" t="inlineStr">
        <is>
          <t>-</t>
        </is>
      </c>
      <c r="G19" s="23">
        <f>B19-1</f>
        <v/>
      </c>
      <c r="H19" s="24" t="inlineStr">
        <is>
          <t>-</t>
        </is>
      </c>
      <c r="I19" s="23">
        <f>B19</f>
        <v/>
      </c>
      <c r="J19" s="20">
        <f>IF(TIMEVALUE(LEFT(C19, FIND("〜", C19&amp;"〜")-1)) &gt; TIME(13, 0, 0), B19+1, B19)</f>
        <v/>
      </c>
      <c r="K19" s="10" t="n"/>
      <c r="L19" s="40" t="inlineStr">
        <is>
          <t>E018</t>
        </is>
      </c>
      <c r="M19" s="37" t="inlineStr">
        <is>
          <t>未定(サポート講師待ち)</t>
        </is>
      </c>
      <c r="N19" s="41" t="n"/>
      <c r="O19" s="41" t="n"/>
      <c r="P19" s="37" t="inlineStr"/>
      <c r="Q19" s="41" t="inlineStr">
        <is>
          <t>未実施</t>
        </is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26" t="inlineStr">
        <is>
          <t>サポート講師ビギナーグルコン</t>
        </is>
      </c>
      <c r="B20" s="15" t="n">
        <v>46234</v>
      </c>
      <c r="C20" s="16" t="inlineStr">
        <is>
          <t>10:00〜11:00</t>
        </is>
      </c>
      <c r="D20" s="16" t="inlineStr">
        <is>
          <t>神保麻紀先生</t>
        </is>
      </c>
      <c r="E20" s="20">
        <f>F20-2</f>
        <v/>
      </c>
      <c r="F20" s="23">
        <f>B20-3</f>
        <v/>
      </c>
      <c r="G20" s="23">
        <f>B20-1</f>
        <v/>
      </c>
      <c r="H20" s="20">
        <f>G20</f>
        <v/>
      </c>
      <c r="I20" s="23">
        <f>B20</f>
        <v/>
      </c>
      <c r="J20" s="20">
        <f>IF(TIMEVALUE(LEFT(C20, FIND("〜", C20&amp;"〜")-1)) &gt; TIME(13, 0, 0), B20+1, B20)</f>
        <v/>
      </c>
      <c r="K20" s="10" t="n"/>
      <c r="L20" s="40" t="inlineStr">
        <is>
          <t>E019</t>
        </is>
      </c>
      <c r="M20" s="37" t="inlineStr">
        <is>
          <t>未定(サポート講師待ち)</t>
        </is>
      </c>
      <c r="N20" s="41" t="n"/>
      <c r="O20" s="41" t="n"/>
      <c r="P20" s="37">
        <f>{{ビギナーグルコン事前フォームURL}}</f>
        <v/>
      </c>
      <c r="Q20" s="41" t="inlineStr">
        <is>
          <t>未実施</t>
        </is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26" t="inlineStr">
        <is>
          <t>キャッチアップマンデー</t>
        </is>
      </c>
      <c r="B21" s="15" t="n">
        <v>46237</v>
      </c>
      <c r="C21" s="16" t="inlineStr">
        <is>
          <t>10:30〜12:00</t>
        </is>
      </c>
      <c r="D21" s="16" t="inlineStr">
        <is>
          <t>若菜先生</t>
        </is>
      </c>
      <c r="E21" s="20">
        <f>G21-3</f>
        <v/>
      </c>
      <c r="F21" s="21" t="inlineStr">
        <is>
          <t>-</t>
        </is>
      </c>
      <c r="G21" s="23">
        <f>B21-1</f>
        <v/>
      </c>
      <c r="H21" s="24" t="inlineStr">
        <is>
          <t>-</t>
        </is>
      </c>
      <c r="I21" s="23">
        <f>B21</f>
        <v/>
      </c>
      <c r="J21" s="20">
        <f>IF(TIMEVALUE(LEFT(C21, FIND("〜", C21&amp;"〜")-1)) &gt; TIME(13, 0, 0), B21+1, B21)</f>
        <v/>
      </c>
      <c r="K21" s="10" t="n"/>
      <c r="L21" s="40" t="inlineStr">
        <is>
          <t>E020</t>
        </is>
      </c>
      <c r="M21" s="37" t="inlineStr">
        <is>
          <t>若菜マンデー共通</t>
        </is>
      </c>
      <c r="N21" s="41" t="n"/>
      <c r="O21" s="41" t="n"/>
      <c r="P21" s="37" t="inlineStr"/>
      <c r="Q21" s="41" t="inlineStr">
        <is>
          <t>未実施</t>
        </is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26" t="inlineStr">
        <is>
          <t>グルコン</t>
        </is>
      </c>
      <c r="B22" s="15" t="n">
        <v>46240</v>
      </c>
      <c r="C22" s="16" t="inlineStr">
        <is>
          <t>21:00〜22:00</t>
        </is>
      </c>
      <c r="D22" s="16" t="inlineStr">
        <is>
          <t>若菜先生</t>
        </is>
      </c>
      <c r="E22" s="20">
        <f>F22-3</f>
        <v/>
      </c>
      <c r="F22" s="23">
        <f>B22-3</f>
        <v/>
      </c>
      <c r="G22" s="23">
        <f>B22-1</f>
        <v/>
      </c>
      <c r="H22" s="20">
        <f>G22</f>
        <v/>
      </c>
      <c r="I22" s="23">
        <f>B22</f>
        <v/>
      </c>
      <c r="J22" s="20">
        <f>IF(TIMEVALUE(LEFT(C22, FIND("〜", C22&amp;"〜")-1)) &gt; TIME(13, 0, 0), B22+1, B22)</f>
        <v/>
      </c>
      <c r="K22" s="10" t="n"/>
      <c r="L22" s="40" t="inlineStr">
        <is>
          <t>E021</t>
        </is>
      </c>
      <c r="M22" s="37" t="inlineStr">
        <is>
          <t>若菜グルコン共通</t>
        </is>
      </c>
      <c r="N22" s="41" t="n"/>
      <c r="O22" s="41" t="n"/>
      <c r="P22" s="37">
        <f>{{グルコン事前フォームURL}}</f>
        <v/>
      </c>
      <c r="Q22" s="41" t="inlineStr">
        <is>
          <t>未実施</t>
        </is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26" t="inlineStr">
        <is>
          <t>第5回 動画配信</t>
        </is>
      </c>
      <c r="B23" s="15" t="n">
        <v>46244</v>
      </c>
      <c r="C23" s="28" t="n">
        <v>0.2916666666666667</v>
      </c>
      <c r="D23" s="16" t="inlineStr">
        <is>
          <t>メールのみ</t>
        </is>
      </c>
      <c r="E23" s="29">
        <f>I23-3</f>
        <v/>
      </c>
      <c r="F23" s="21" t="inlineStr">
        <is>
          <t>-</t>
        </is>
      </c>
      <c r="G23" s="21" t="inlineStr">
        <is>
          <t>-</t>
        </is>
      </c>
      <c r="H23" s="24" t="inlineStr">
        <is>
          <t>-</t>
        </is>
      </c>
      <c r="I23" s="23">
        <f>B23</f>
        <v/>
      </c>
      <c r="J23" s="24" t="inlineStr">
        <is>
          <t>-</t>
        </is>
      </c>
      <c r="K23" s="10" t="n"/>
      <c r="L23" s="40" t="inlineStr">
        <is>
          <t>E022</t>
        </is>
      </c>
      <c r="M23" s="37" t="inlineStr">
        <is>
          <t>Zoomなし</t>
        </is>
      </c>
      <c r="N23" s="41" t="n"/>
      <c r="O23" s="41" t="n"/>
      <c r="P23" s="37" t="inlineStr"/>
      <c r="Q23" s="41" t="inlineStr">
        <is>
          <t>未実施</t>
        </is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26" t="inlineStr">
        <is>
          <t>キャッチアップウェンズデー</t>
        </is>
      </c>
      <c r="B24" s="15" t="n">
        <v>46246</v>
      </c>
      <c r="C24" s="16" t="inlineStr">
        <is>
          <t>9:30〜11:00</t>
        </is>
      </c>
      <c r="D24" s="16" t="inlineStr">
        <is>
          <t>山下直子先生</t>
        </is>
      </c>
      <c r="E24" s="20">
        <f>G24-2</f>
        <v/>
      </c>
      <c r="F24" s="21" t="inlineStr">
        <is>
          <t>-</t>
        </is>
      </c>
      <c r="G24" s="23">
        <f>B24-1</f>
        <v/>
      </c>
      <c r="H24" s="24" t="inlineStr">
        <is>
          <t>-</t>
        </is>
      </c>
      <c r="I24" s="23">
        <f>B24</f>
        <v/>
      </c>
      <c r="J24" s="20">
        <f>IF(TIMEVALUE(LEFT(C24, FIND("〜", C24&amp;"〜")-1)) &gt; TIME(13, 0, 0), B24+1, B24)</f>
        <v/>
      </c>
      <c r="K24" s="10" t="n"/>
      <c r="L24" s="40" t="inlineStr">
        <is>
          <t>E023</t>
        </is>
      </c>
      <c r="M24" s="37" t="inlineStr">
        <is>
          <t>未定(サポート講師待ち)</t>
        </is>
      </c>
      <c r="N24" s="41" t="n"/>
      <c r="O24" s="41" t="n"/>
      <c r="P24" s="37" t="inlineStr"/>
      <c r="Q24" s="41" t="inlineStr">
        <is>
          <t>未実施</t>
        </is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26" t="inlineStr">
        <is>
          <t>キャッチアップマンデー</t>
        </is>
      </c>
      <c r="B25" s="15" t="n">
        <v>46251</v>
      </c>
      <c r="C25" s="16" t="inlineStr">
        <is>
          <t>10:30〜12:00</t>
        </is>
      </c>
      <c r="D25" s="16" t="inlineStr">
        <is>
          <t>若菜先生</t>
        </is>
      </c>
      <c r="E25" s="20">
        <f>G25-3</f>
        <v/>
      </c>
      <c r="F25" s="21" t="inlineStr">
        <is>
          <t>-</t>
        </is>
      </c>
      <c r="G25" s="23">
        <f>B25-1</f>
        <v/>
      </c>
      <c r="H25" s="24" t="inlineStr">
        <is>
          <t>-</t>
        </is>
      </c>
      <c r="I25" s="23">
        <f>B25</f>
        <v/>
      </c>
      <c r="J25" s="20">
        <f>IF(TIMEVALUE(LEFT(C25, FIND("〜", C25&amp;"〜")-1)) &gt; TIME(13, 0, 0), B25+1, B25)</f>
        <v/>
      </c>
      <c r="K25" s="10" t="n"/>
      <c r="L25" s="40" t="inlineStr">
        <is>
          <t>E024</t>
        </is>
      </c>
      <c r="M25" s="37" t="inlineStr">
        <is>
          <t>若菜マンデー共通</t>
        </is>
      </c>
      <c r="N25" s="41" t="n"/>
      <c r="O25" s="41" t="n"/>
      <c r="P25" s="37" t="inlineStr"/>
      <c r="Q25" s="41" t="inlineStr">
        <is>
          <t>未実施</t>
        </is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26" t="inlineStr">
        <is>
          <t>グルコン</t>
        </is>
      </c>
      <c r="B26" s="15" t="n">
        <v>46254</v>
      </c>
      <c r="C26" s="16" t="inlineStr">
        <is>
          <t>10:00〜11:00</t>
        </is>
      </c>
      <c r="D26" s="16" t="inlineStr">
        <is>
          <t>若菜先生</t>
        </is>
      </c>
      <c r="E26" s="20">
        <f>F26-3</f>
        <v/>
      </c>
      <c r="F26" s="23">
        <f>B26-3</f>
        <v/>
      </c>
      <c r="G26" s="23">
        <f>B26-1</f>
        <v/>
      </c>
      <c r="H26" s="20">
        <f>G26</f>
        <v/>
      </c>
      <c r="I26" s="23">
        <f>B26</f>
        <v/>
      </c>
      <c r="J26" s="20">
        <f>IF(TIMEVALUE(LEFT(C26, FIND("〜", C26&amp;"〜")-1)) &gt; TIME(13, 0, 0), B26+1, B26)</f>
        <v/>
      </c>
      <c r="K26" s="10" t="n"/>
      <c r="L26" s="40" t="inlineStr">
        <is>
          <t>E025</t>
        </is>
      </c>
      <c r="M26" s="37" t="inlineStr">
        <is>
          <t>若菜グルコン共通</t>
        </is>
      </c>
      <c r="N26" s="41" t="n"/>
      <c r="O26" s="41" t="n"/>
      <c r="P26" s="37">
        <f>{{グルコン事前フォームURL}}</f>
        <v/>
      </c>
      <c r="Q26" s="41" t="inlineStr">
        <is>
          <t>未実施</t>
        </is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26" t="inlineStr">
        <is>
          <t>サポート講師ビギナーグルコン</t>
        </is>
      </c>
      <c r="B27" s="15" t="n">
        <v>46255</v>
      </c>
      <c r="C27" s="16" t="inlineStr">
        <is>
          <t>21:00〜22:00</t>
        </is>
      </c>
      <c r="D27" s="16" t="inlineStr">
        <is>
          <t>山知雅代先生</t>
        </is>
      </c>
      <c r="E27" s="20">
        <f>F27-2</f>
        <v/>
      </c>
      <c r="F27" s="23">
        <f>B27-3</f>
        <v/>
      </c>
      <c r="G27" s="23">
        <f>B27-1</f>
        <v/>
      </c>
      <c r="H27" s="20">
        <f>G27</f>
        <v/>
      </c>
      <c r="I27" s="23">
        <f>B27</f>
        <v/>
      </c>
      <c r="J27" s="20">
        <f>IF(TIMEVALUE(LEFT(C27, FIND("〜", C27&amp;"〜")-1)) &gt; TIME(13, 0, 0), B27+1, B27)</f>
        <v/>
      </c>
      <c r="K27" s="10" t="n"/>
      <c r="L27" s="40" t="inlineStr">
        <is>
          <t>E026</t>
        </is>
      </c>
      <c r="M27" s="37" t="inlineStr">
        <is>
          <t>未定(サポート講師待ち)</t>
        </is>
      </c>
      <c r="N27" s="41" t="n"/>
      <c r="O27" s="41" t="n"/>
      <c r="P27" s="37">
        <f>{{ビギナーグルコン事前フォームURL}}</f>
        <v/>
      </c>
      <c r="Q27" s="41" t="inlineStr">
        <is>
          <t>未実施</t>
        </is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26" t="inlineStr">
        <is>
          <t>第6回 動画配信</t>
        </is>
      </c>
      <c r="B28" s="15" t="n">
        <v>46258</v>
      </c>
      <c r="C28" s="28" t="n">
        <v>0.2916666666666667</v>
      </c>
      <c r="D28" s="16" t="inlineStr">
        <is>
          <t>メールのみ</t>
        </is>
      </c>
      <c r="E28" s="29">
        <f>I28-3</f>
        <v/>
      </c>
      <c r="F28" s="21" t="inlineStr">
        <is>
          <t>-</t>
        </is>
      </c>
      <c r="G28" s="21" t="inlineStr">
        <is>
          <t>-</t>
        </is>
      </c>
      <c r="H28" s="24" t="inlineStr">
        <is>
          <t>-</t>
        </is>
      </c>
      <c r="I28" s="23">
        <f>B28</f>
        <v/>
      </c>
      <c r="J28" s="24" t="inlineStr">
        <is>
          <t>-</t>
        </is>
      </c>
      <c r="K28" s="10" t="n"/>
      <c r="L28" s="40" t="inlineStr">
        <is>
          <t>E027</t>
        </is>
      </c>
      <c r="M28" s="37" t="inlineStr">
        <is>
          <t>Zoomなし</t>
        </is>
      </c>
      <c r="N28" s="41" t="n"/>
      <c r="O28" s="41" t="n"/>
      <c r="P28" s="37" t="inlineStr"/>
      <c r="Q28" s="41" t="inlineStr">
        <is>
          <t>未実施</t>
        </is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26" t="inlineStr">
        <is>
          <t>グルコン</t>
        </is>
      </c>
      <c r="B29" s="15" t="n">
        <v>46261</v>
      </c>
      <c r="C29" s="16" t="inlineStr">
        <is>
          <t>21:00〜22:00</t>
        </is>
      </c>
      <c r="D29" s="16" t="inlineStr">
        <is>
          <t>若菜先生</t>
        </is>
      </c>
      <c r="E29" s="20">
        <f>F29-3</f>
        <v/>
      </c>
      <c r="F29" s="23">
        <f>B29-3</f>
        <v/>
      </c>
      <c r="G29" s="23">
        <f>B29-1</f>
        <v/>
      </c>
      <c r="H29" s="20">
        <f>G29</f>
        <v/>
      </c>
      <c r="I29" s="23">
        <f>B29</f>
        <v/>
      </c>
      <c r="J29" s="20">
        <f>IF(TIMEVALUE(LEFT(C29, FIND("〜", C29&amp;"〜")-1)) &gt; TIME(13, 0, 0), B29+1, B29)</f>
        <v/>
      </c>
      <c r="K29" s="10" t="n"/>
      <c r="L29" s="40" t="inlineStr">
        <is>
          <t>E028</t>
        </is>
      </c>
      <c r="M29" s="37" t="inlineStr">
        <is>
          <t>若菜グルコン共通</t>
        </is>
      </c>
      <c r="N29" s="41" t="n"/>
      <c r="O29" s="41" t="n"/>
      <c r="P29" s="37">
        <f>{{グルコン事前フォームURL}}</f>
        <v/>
      </c>
      <c r="Q29" s="41" t="inlineStr">
        <is>
          <t>未実施</t>
        </is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3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3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3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3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3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3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3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3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3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3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3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3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3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3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3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3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3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3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3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3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3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3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3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3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3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3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3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3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3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3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3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3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3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3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3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3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3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3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3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3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3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3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3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3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3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3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3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3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3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3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3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3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3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3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3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3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3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3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3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3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3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3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3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3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3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3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3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3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3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3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3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10" t="n"/>
      <c r="B101" s="3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10" t="n"/>
      <c r="B102" s="3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10" t="n"/>
      <c r="B103" s="3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10" t="n"/>
      <c r="B104" s="3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10" t="n"/>
      <c r="B105" s="3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10" t="n"/>
      <c r="B106" s="3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10" t="n"/>
      <c r="B107" s="3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10" t="n"/>
      <c r="B108" s="3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10" t="n"/>
      <c r="B109" s="3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10" t="n"/>
      <c r="B110" s="3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10" t="n"/>
      <c r="B111" s="3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10" t="n"/>
      <c r="B112" s="3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10" t="n"/>
      <c r="B113" s="3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10" t="n"/>
      <c r="B114" s="3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10" t="n"/>
      <c r="B115" s="3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10" t="n"/>
      <c r="B116" s="3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10" t="n"/>
      <c r="B117" s="3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10" t="n"/>
      <c r="B118" s="3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10" t="n"/>
      <c r="B119" s="3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10" t="n"/>
      <c r="B120" s="3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10" t="n"/>
      <c r="B121" s="3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10" t="n"/>
      <c r="B122" s="3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10" t="n"/>
      <c r="B123" s="3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10" t="n"/>
      <c r="B124" s="3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10" t="n"/>
      <c r="B125" s="3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10" t="n"/>
      <c r="B126" s="3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10" t="n"/>
      <c r="B127" s="3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10" t="n"/>
      <c r="B128" s="3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10" t="n"/>
      <c r="B129" s="3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10" t="n"/>
      <c r="B130" s="3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10" t="n"/>
      <c r="B131" s="3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10" t="n"/>
      <c r="B132" s="3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10" t="n"/>
      <c r="B133" s="3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10" t="n"/>
      <c r="B134" s="3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10" t="n"/>
      <c r="B135" s="3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10" t="n"/>
      <c r="B136" s="3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10" t="n"/>
      <c r="B137" s="3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10" t="n"/>
      <c r="B138" s="3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10" t="n"/>
      <c r="B139" s="3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10" t="n"/>
      <c r="B140" s="3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10" t="n"/>
      <c r="B141" s="3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10" t="n"/>
      <c r="B142" s="3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10" t="n"/>
      <c r="B143" s="3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10" t="n"/>
      <c r="B144" s="3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10" t="n"/>
      <c r="B145" s="3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10" t="n"/>
      <c r="B146" s="3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10" t="n"/>
      <c r="B147" s="3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10" t="n"/>
      <c r="B148" s="3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10" t="n"/>
      <c r="B149" s="3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10" t="n"/>
      <c r="B150" s="3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10" t="n"/>
      <c r="B151" s="3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10" t="n"/>
      <c r="B152" s="3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10" t="n"/>
      <c r="B153" s="3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10" t="n"/>
      <c r="B154" s="3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10" t="n"/>
      <c r="B155" s="3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10" t="n"/>
      <c r="B156" s="3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10" t="n"/>
      <c r="B157" s="3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10" t="n"/>
      <c r="B158" s="3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10" t="n"/>
      <c r="B159" s="3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10" t="n"/>
      <c r="B160" s="3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10" t="n"/>
      <c r="B161" s="3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10" t="n"/>
      <c r="B162" s="3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10" t="n"/>
      <c r="B163" s="3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10" t="n"/>
      <c r="B164" s="3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10" t="n"/>
      <c r="B165" s="3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10" t="n"/>
      <c r="B166" s="3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10" t="n"/>
      <c r="B167" s="3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10" t="n"/>
      <c r="B168" s="3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10" t="n"/>
      <c r="B169" s="3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10" t="n"/>
      <c r="B170" s="3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10" t="n"/>
      <c r="B171" s="3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10" t="n"/>
      <c r="B172" s="3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10" t="n"/>
      <c r="B173" s="3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10" t="n"/>
      <c r="B174" s="3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10" t="n"/>
      <c r="B175" s="3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10" t="n"/>
      <c r="B176" s="3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10" t="n"/>
      <c r="B177" s="3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10" t="n"/>
      <c r="B178" s="3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10" t="n"/>
      <c r="B179" s="3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10" t="n"/>
      <c r="B180" s="3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10" t="n"/>
      <c r="B181" s="3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10" t="n"/>
      <c r="B182" s="3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10" t="n"/>
      <c r="B183" s="3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10" t="n"/>
      <c r="B184" s="3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10" t="n"/>
      <c r="B185" s="3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10" t="n"/>
      <c r="B186" s="3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10" t="n"/>
      <c r="B187" s="3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10" t="n"/>
      <c r="B188" s="3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10" t="n"/>
      <c r="B189" s="3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10" t="n"/>
      <c r="B190" s="3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10" t="n"/>
      <c r="B191" s="3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10" t="n"/>
      <c r="B192" s="3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10" t="n"/>
      <c r="B193" s="3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10" t="n"/>
      <c r="B194" s="3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10" t="n"/>
      <c r="B195" s="3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10" t="n"/>
      <c r="B196" s="3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10" t="n"/>
      <c r="B197" s="3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0" t="n"/>
      <c r="B198" s="3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0" t="n"/>
      <c r="B199" s="3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0" t="n"/>
      <c r="B200" s="3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10" t="n"/>
      <c r="B201" s="3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>
      <c r="A202" s="10" t="n"/>
      <c r="B202" s="3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>
      <c r="A203" s="10" t="n"/>
      <c r="B203" s="3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>
      <c r="A204" s="10" t="n"/>
      <c r="B204" s="3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>
      <c r="A205" s="10" t="n"/>
      <c r="B205" s="3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>
      <c r="A206" s="10" t="n"/>
      <c r="B206" s="3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>
      <c r="A207" s="10" t="n"/>
      <c r="B207" s="3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>
      <c r="A208" s="10" t="n"/>
      <c r="B208" s="3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>
      <c r="A209" s="10" t="n"/>
      <c r="B209" s="3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>
      <c r="A210" s="10" t="n"/>
      <c r="B210" s="3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>
      <c r="A211" s="10" t="n"/>
      <c r="B211" s="3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>
      <c r="A212" s="10" t="n"/>
      <c r="B212" s="3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>
      <c r="A213" s="10" t="n"/>
      <c r="B213" s="3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>
      <c r="A214" s="10" t="n"/>
      <c r="B214" s="3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>
      <c r="A215" s="10" t="n"/>
      <c r="B215" s="3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>
      <c r="A216" s="10" t="n"/>
      <c r="B216" s="3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>
      <c r="A217" s="10" t="n"/>
      <c r="B217" s="3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>
      <c r="A218" s="10" t="n"/>
      <c r="B218" s="3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>
      <c r="A219" s="10" t="n"/>
      <c r="B219" s="3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>
      <c r="A220" s="10" t="n"/>
      <c r="B220" s="3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>
      <c r="A221" s="10" t="n"/>
      <c r="B221" s="3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>
      <c r="A222" s="10" t="n"/>
      <c r="B222" s="3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>
      <c r="A223" s="10" t="n"/>
      <c r="B223" s="3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>
      <c r="A224" s="10" t="n"/>
      <c r="B224" s="3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>
      <c r="A225" s="10" t="n"/>
      <c r="B225" s="3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>
      <c r="A226" s="10" t="n"/>
      <c r="B226" s="3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>
      <c r="A227" s="10" t="n"/>
      <c r="B227" s="3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>
      <c r="A228" s="10" t="n"/>
      <c r="B228" s="3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>
      <c r="A229" s="10" t="n"/>
      <c r="B229" s="3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>
      <c r="A230" s="10" t="n"/>
      <c r="B230" s="3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>
      <c r="A231" s="10" t="n"/>
      <c r="B231" s="3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>
      <c r="A232" s="10" t="n"/>
      <c r="B232" s="3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>
      <c r="A233" s="10" t="n"/>
      <c r="B233" s="3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>
      <c r="A234" s="10" t="n"/>
      <c r="B234" s="3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>
      <c r="A235" s="10" t="n"/>
      <c r="B235" s="3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>
      <c r="A236" s="10" t="n"/>
      <c r="B236" s="3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>
      <c r="A237" s="10" t="n"/>
      <c r="B237" s="3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>
      <c r="A238" s="10" t="n"/>
      <c r="B238" s="3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>
      <c r="A239" s="10" t="n"/>
      <c r="B239" s="3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>
      <c r="A240" s="10" t="n"/>
      <c r="B240" s="3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>
      <c r="A241" s="10" t="n"/>
      <c r="B241" s="3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>
      <c r="A242" s="10" t="n"/>
      <c r="B242" s="3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>
      <c r="A243" s="10" t="n"/>
      <c r="B243" s="3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>
      <c r="A244" s="10" t="n"/>
      <c r="B244" s="3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>
      <c r="A245" s="10" t="n"/>
      <c r="B245" s="3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>
      <c r="A246" s="10" t="n"/>
      <c r="B246" s="3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>
      <c r="A247" s="10" t="n"/>
      <c r="B247" s="3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>
      <c r="A248" s="10" t="n"/>
      <c r="B248" s="3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>
      <c r="A249" s="10" t="n"/>
      <c r="B249" s="3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>
      <c r="A250" s="10" t="n"/>
      <c r="B250" s="3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>
      <c r="A251" s="10" t="n"/>
      <c r="B251" s="3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>
      <c r="A252" s="10" t="n"/>
      <c r="B252" s="3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>
      <c r="A253" s="10" t="n"/>
      <c r="B253" s="3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>
      <c r="A254" s="10" t="n"/>
      <c r="B254" s="3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>
      <c r="A255" s="10" t="n"/>
      <c r="B255" s="3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>
      <c r="A256" s="10" t="n"/>
      <c r="B256" s="3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>
      <c r="A257" s="10" t="n"/>
      <c r="B257" s="3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>
      <c r="A258" s="10" t="n"/>
      <c r="B258" s="3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>
      <c r="A259" s="10" t="n"/>
      <c r="B259" s="3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>
      <c r="A260" s="10" t="n"/>
      <c r="B260" s="3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>
      <c r="A261" s="10" t="n"/>
      <c r="B261" s="3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>
      <c r="A262" s="10" t="n"/>
      <c r="B262" s="3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>
      <c r="A263" s="10" t="n"/>
      <c r="B263" s="3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>
      <c r="A264" s="10" t="n"/>
      <c r="B264" s="3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>
      <c r="A265" s="10" t="n"/>
      <c r="B265" s="3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>
      <c r="A266" s="10" t="n"/>
      <c r="B266" s="3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>
      <c r="A267" s="10" t="n"/>
      <c r="B267" s="3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>
      <c r="A268" s="10" t="n"/>
      <c r="B268" s="3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>
      <c r="A269" s="10" t="n"/>
      <c r="B269" s="3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>
      <c r="A270" s="10" t="n"/>
      <c r="B270" s="3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>
      <c r="A271" s="10" t="n"/>
      <c r="B271" s="3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>
      <c r="A272" s="10" t="n"/>
      <c r="B272" s="3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>
      <c r="A273" s="10" t="n"/>
      <c r="B273" s="3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>
      <c r="A274" s="10" t="n"/>
      <c r="B274" s="3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>
      <c r="A275" s="10" t="n"/>
      <c r="B275" s="3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>
      <c r="A276" s="10" t="n"/>
      <c r="B276" s="3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>
      <c r="A277" s="10" t="n"/>
      <c r="B277" s="3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>
      <c r="A278" s="10" t="n"/>
      <c r="B278" s="3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>
      <c r="A279" s="10" t="n"/>
      <c r="B279" s="3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>
      <c r="A280" s="10" t="n"/>
      <c r="B280" s="3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>
      <c r="A281" s="10" t="n"/>
      <c r="B281" s="3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>
      <c r="A282" s="10" t="n"/>
      <c r="B282" s="3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>
      <c r="A283" s="10" t="n"/>
      <c r="B283" s="3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>
      <c r="A284" s="10" t="n"/>
      <c r="B284" s="3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>
      <c r="A285" s="10" t="n"/>
      <c r="B285" s="3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>
      <c r="A286" s="10" t="n"/>
      <c r="B286" s="3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>
      <c r="A287" s="10" t="n"/>
      <c r="B287" s="3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>
      <c r="A288" s="10" t="n"/>
      <c r="B288" s="3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>
      <c r="A289" s="10" t="n"/>
      <c r="B289" s="3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>
      <c r="A290" s="10" t="n"/>
      <c r="B290" s="3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>
      <c r="A291" s="10" t="n"/>
      <c r="B291" s="3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>
      <c r="A292" s="10" t="n"/>
      <c r="B292" s="3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>
      <c r="A293" s="10" t="n"/>
      <c r="B293" s="3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>
      <c r="A294" s="10" t="n"/>
      <c r="B294" s="3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>
      <c r="A295" s="10" t="n"/>
      <c r="B295" s="3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>
      <c r="A296" s="10" t="n"/>
      <c r="B296" s="3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>
      <c r="A297" s="10" t="n"/>
      <c r="B297" s="3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>
      <c r="A298" s="10" t="n"/>
      <c r="B298" s="3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>
      <c r="A299" s="10" t="n"/>
      <c r="B299" s="3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>
      <c r="A300" s="10" t="n"/>
      <c r="B300" s="3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>
      <c r="A301" s="10" t="n"/>
      <c r="B301" s="3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>
      <c r="A302" s="10" t="n"/>
      <c r="B302" s="3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>
      <c r="A303" s="10" t="n"/>
      <c r="B303" s="3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>
      <c r="A304" s="10" t="n"/>
      <c r="B304" s="3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>
      <c r="A305" s="10" t="n"/>
      <c r="B305" s="3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>
      <c r="A306" s="10" t="n"/>
      <c r="B306" s="3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>
      <c r="A307" s="10" t="n"/>
      <c r="B307" s="3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>
      <c r="A308" s="10" t="n"/>
      <c r="B308" s="3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>
      <c r="A309" s="10" t="n"/>
      <c r="B309" s="3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>
      <c r="A310" s="10" t="n"/>
      <c r="B310" s="3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>
      <c r="A311" s="10" t="n"/>
      <c r="B311" s="3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>
      <c r="A312" s="10" t="n"/>
      <c r="B312" s="3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>
      <c r="A313" s="10" t="n"/>
      <c r="B313" s="3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>
      <c r="A314" s="10" t="n"/>
      <c r="B314" s="3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>
      <c r="A315" s="10" t="n"/>
      <c r="B315" s="3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>
      <c r="A316" s="10" t="n"/>
      <c r="B316" s="3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>
      <c r="A317" s="10" t="n"/>
      <c r="B317" s="3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>
      <c r="A318" s="10" t="n"/>
      <c r="B318" s="3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>
      <c r="A319" s="10" t="n"/>
      <c r="B319" s="3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>
      <c r="A320" s="10" t="n"/>
      <c r="B320" s="3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>
      <c r="A321" s="10" t="n"/>
      <c r="B321" s="3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>
      <c r="A322" s="10" t="n"/>
      <c r="B322" s="3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>
      <c r="A323" s="10" t="n"/>
      <c r="B323" s="3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>
      <c r="A324" s="10" t="n"/>
      <c r="B324" s="3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>
      <c r="A325" s="10" t="n"/>
      <c r="B325" s="3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>
      <c r="A326" s="10" t="n"/>
      <c r="B326" s="3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>
      <c r="A327" s="10" t="n"/>
      <c r="B327" s="3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>
      <c r="A328" s="10" t="n"/>
      <c r="B328" s="3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>
      <c r="A329" s="10" t="n"/>
      <c r="B329" s="3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>
      <c r="A330" s="10" t="n"/>
      <c r="B330" s="3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>
      <c r="A331" s="10" t="n"/>
      <c r="B331" s="3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>
      <c r="A332" s="10" t="n"/>
      <c r="B332" s="3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>
      <c r="A333" s="10" t="n"/>
      <c r="B333" s="3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>
      <c r="A334" s="10" t="n"/>
      <c r="B334" s="3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>
      <c r="A335" s="10" t="n"/>
      <c r="B335" s="3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>
      <c r="A336" s="10" t="n"/>
      <c r="B336" s="3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>
      <c r="A337" s="10" t="n"/>
      <c r="B337" s="3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>
      <c r="A338" s="10" t="n"/>
      <c r="B338" s="3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>
      <c r="A339" s="10" t="n"/>
      <c r="B339" s="3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>
      <c r="A340" s="10" t="n"/>
      <c r="B340" s="3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>
      <c r="A341" s="10" t="n"/>
      <c r="B341" s="3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>
      <c r="A342" s="10" t="n"/>
      <c r="B342" s="3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>
      <c r="A343" s="10" t="n"/>
      <c r="B343" s="3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>
      <c r="A344" s="10" t="n"/>
      <c r="B344" s="3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>
      <c r="A345" s="10" t="n"/>
      <c r="B345" s="3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>
      <c r="A346" s="10" t="n"/>
      <c r="B346" s="3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>
      <c r="A347" s="10" t="n"/>
      <c r="B347" s="3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>
      <c r="A348" s="10" t="n"/>
      <c r="B348" s="3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>
      <c r="A349" s="10" t="n"/>
      <c r="B349" s="3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>
      <c r="A350" s="10" t="n"/>
      <c r="B350" s="3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>
      <c r="A351" s="10" t="n"/>
      <c r="B351" s="3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>
      <c r="A352" s="10" t="n"/>
      <c r="B352" s="3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>
      <c r="A353" s="10" t="n"/>
      <c r="B353" s="3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>
      <c r="A354" s="10" t="n"/>
      <c r="B354" s="3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>
      <c r="A355" s="10" t="n"/>
      <c r="B355" s="3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>
      <c r="A356" s="10" t="n"/>
      <c r="B356" s="3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>
      <c r="A357" s="10" t="n"/>
      <c r="B357" s="3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>
      <c r="A358" s="10" t="n"/>
      <c r="B358" s="3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>
      <c r="A359" s="10" t="n"/>
      <c r="B359" s="3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>
      <c r="A360" s="10" t="n"/>
      <c r="B360" s="3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>
      <c r="A361" s="10" t="n"/>
      <c r="B361" s="3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>
      <c r="A362" s="10" t="n"/>
      <c r="B362" s="3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>
      <c r="A363" s="10" t="n"/>
      <c r="B363" s="3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>
      <c r="A364" s="10" t="n"/>
      <c r="B364" s="3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>
      <c r="A365" s="10" t="n"/>
      <c r="B365" s="3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>
      <c r="A366" s="10" t="n"/>
      <c r="B366" s="3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>
      <c r="A367" s="10" t="n"/>
      <c r="B367" s="3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>
      <c r="A368" s="10" t="n"/>
      <c r="B368" s="3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>
      <c r="A369" s="10" t="n"/>
      <c r="B369" s="3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>
      <c r="A370" s="10" t="n"/>
      <c r="B370" s="3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>
      <c r="A371" s="10" t="n"/>
      <c r="B371" s="3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>
      <c r="A372" s="10" t="n"/>
      <c r="B372" s="3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>
      <c r="A373" s="10" t="n"/>
      <c r="B373" s="3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>
      <c r="A374" s="10" t="n"/>
      <c r="B374" s="3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>
      <c r="A375" s="10" t="n"/>
      <c r="B375" s="3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>
      <c r="A376" s="10" t="n"/>
      <c r="B376" s="3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>
      <c r="A377" s="10" t="n"/>
      <c r="B377" s="3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>
      <c r="A378" s="10" t="n"/>
      <c r="B378" s="3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>
      <c r="A379" s="10" t="n"/>
      <c r="B379" s="3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>
      <c r="A380" s="10" t="n"/>
      <c r="B380" s="3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>
      <c r="A381" s="10" t="n"/>
      <c r="B381" s="3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>
      <c r="A382" s="10" t="n"/>
      <c r="B382" s="3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>
      <c r="A383" s="10" t="n"/>
      <c r="B383" s="3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>
      <c r="A384" s="10" t="n"/>
      <c r="B384" s="3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>
      <c r="A385" s="10" t="n"/>
      <c r="B385" s="3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>
      <c r="A386" s="10" t="n"/>
      <c r="B386" s="3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>
      <c r="A387" s="10" t="n"/>
      <c r="B387" s="3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>
      <c r="A388" s="10" t="n"/>
      <c r="B388" s="3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>
      <c r="A389" s="10" t="n"/>
      <c r="B389" s="3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>
      <c r="A390" s="10" t="n"/>
      <c r="B390" s="3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>
      <c r="A391" s="10" t="n"/>
      <c r="B391" s="3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>
      <c r="A392" s="10" t="n"/>
      <c r="B392" s="3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>
      <c r="A393" s="10" t="n"/>
      <c r="B393" s="3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>
      <c r="A394" s="10" t="n"/>
      <c r="B394" s="3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>
      <c r="A395" s="10" t="n"/>
      <c r="B395" s="3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>
      <c r="A396" s="10" t="n"/>
      <c r="B396" s="3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>
      <c r="A397" s="10" t="n"/>
      <c r="B397" s="3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>
      <c r="A398" s="10" t="n"/>
      <c r="B398" s="3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>
      <c r="A399" s="10" t="n"/>
      <c r="B399" s="3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>
      <c r="A400" s="10" t="n"/>
      <c r="B400" s="3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>
      <c r="A401" s="10" t="n"/>
      <c r="B401" s="3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>
      <c r="A402" s="10" t="n"/>
      <c r="B402" s="3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>
      <c r="A403" s="10" t="n"/>
      <c r="B403" s="3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>
      <c r="A404" s="10" t="n"/>
      <c r="B404" s="3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>
      <c r="A405" s="10" t="n"/>
      <c r="B405" s="3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>
      <c r="A406" s="10" t="n"/>
      <c r="B406" s="3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>
      <c r="A407" s="10" t="n"/>
      <c r="B407" s="3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>
      <c r="A408" s="10" t="n"/>
      <c r="B408" s="3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>
      <c r="A409" s="10" t="n"/>
      <c r="B409" s="3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>
      <c r="A410" s="10" t="n"/>
      <c r="B410" s="3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>
      <c r="A411" s="10" t="n"/>
      <c r="B411" s="3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>
      <c r="A412" s="10" t="n"/>
      <c r="B412" s="3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>
      <c r="A413" s="10" t="n"/>
      <c r="B413" s="3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>
      <c r="A414" s="10" t="n"/>
      <c r="B414" s="3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>
      <c r="A415" s="10" t="n"/>
      <c r="B415" s="3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>
      <c r="A416" s="10" t="n"/>
      <c r="B416" s="3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>
      <c r="A417" s="10" t="n"/>
      <c r="B417" s="3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>
      <c r="A418" s="10" t="n"/>
      <c r="B418" s="3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>
      <c r="A419" s="10" t="n"/>
      <c r="B419" s="3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>
      <c r="A420" s="10" t="n"/>
      <c r="B420" s="3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>
      <c r="A421" s="10" t="n"/>
      <c r="B421" s="3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>
      <c r="A422" s="10" t="n"/>
      <c r="B422" s="3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>
      <c r="A423" s="10" t="n"/>
      <c r="B423" s="3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>
      <c r="A424" s="10" t="n"/>
      <c r="B424" s="3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>
      <c r="A425" s="10" t="n"/>
      <c r="B425" s="3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>
      <c r="A426" s="10" t="n"/>
      <c r="B426" s="3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>
      <c r="A427" s="10" t="n"/>
      <c r="B427" s="3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>
      <c r="A428" s="10" t="n"/>
      <c r="B428" s="3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>
      <c r="A429" s="10" t="n"/>
      <c r="B429" s="3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>
      <c r="A430" s="10" t="n"/>
      <c r="B430" s="3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>
      <c r="A431" s="10" t="n"/>
      <c r="B431" s="3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>
      <c r="A432" s="10" t="n"/>
      <c r="B432" s="3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>
      <c r="A433" s="10" t="n"/>
      <c r="B433" s="3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>
      <c r="A434" s="10" t="n"/>
      <c r="B434" s="3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>
      <c r="A435" s="10" t="n"/>
      <c r="B435" s="3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>
      <c r="A436" s="10" t="n"/>
      <c r="B436" s="3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>
      <c r="A437" s="10" t="n"/>
      <c r="B437" s="3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>
      <c r="A438" s="10" t="n"/>
      <c r="B438" s="3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>
      <c r="A439" s="10" t="n"/>
      <c r="B439" s="3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>
      <c r="A440" s="10" t="n"/>
      <c r="B440" s="3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>
      <c r="A441" s="10" t="n"/>
      <c r="B441" s="3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>
      <c r="A442" s="10" t="n"/>
      <c r="B442" s="3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>
      <c r="A443" s="10" t="n"/>
      <c r="B443" s="3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>
      <c r="A444" s="10" t="n"/>
      <c r="B444" s="3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>
      <c r="A445" s="10" t="n"/>
      <c r="B445" s="3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>
      <c r="A446" s="10" t="n"/>
      <c r="B446" s="3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>
      <c r="A447" s="10" t="n"/>
      <c r="B447" s="3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>
      <c r="A448" s="10" t="n"/>
      <c r="B448" s="3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>
      <c r="A449" s="10" t="n"/>
      <c r="B449" s="3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>
      <c r="A450" s="10" t="n"/>
      <c r="B450" s="3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>
      <c r="A451" s="10" t="n"/>
      <c r="B451" s="3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>
      <c r="A452" s="10" t="n"/>
      <c r="B452" s="3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>
      <c r="A453" s="10" t="n"/>
      <c r="B453" s="3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>
      <c r="A454" s="10" t="n"/>
      <c r="B454" s="3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>
      <c r="A455" s="10" t="n"/>
      <c r="B455" s="3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>
      <c r="A456" s="10" t="n"/>
      <c r="B456" s="3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>
      <c r="A457" s="10" t="n"/>
      <c r="B457" s="3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>
      <c r="A458" s="10" t="n"/>
      <c r="B458" s="3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>
      <c r="A459" s="10" t="n"/>
      <c r="B459" s="3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>
      <c r="A460" s="10" t="n"/>
      <c r="B460" s="3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>
      <c r="A461" s="10" t="n"/>
      <c r="B461" s="3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>
      <c r="A462" s="10" t="n"/>
      <c r="B462" s="3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>
      <c r="A463" s="10" t="n"/>
      <c r="B463" s="3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>
      <c r="A464" s="10" t="n"/>
      <c r="B464" s="3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>
      <c r="A465" s="10" t="n"/>
      <c r="B465" s="3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>
      <c r="A466" s="10" t="n"/>
      <c r="B466" s="3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>
      <c r="A467" s="10" t="n"/>
      <c r="B467" s="3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>
      <c r="A468" s="10" t="n"/>
      <c r="B468" s="3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>
      <c r="A469" s="10" t="n"/>
      <c r="B469" s="3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>
      <c r="A470" s="10" t="n"/>
      <c r="B470" s="3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>
      <c r="A471" s="10" t="n"/>
      <c r="B471" s="3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>
      <c r="A472" s="10" t="n"/>
      <c r="B472" s="3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>
      <c r="A473" s="10" t="n"/>
      <c r="B473" s="3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>
      <c r="A474" s="10" t="n"/>
      <c r="B474" s="3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>
      <c r="A475" s="10" t="n"/>
      <c r="B475" s="3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>
      <c r="A476" s="10" t="n"/>
      <c r="B476" s="3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>
      <c r="A477" s="10" t="n"/>
      <c r="B477" s="3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>
      <c r="A478" s="10" t="n"/>
      <c r="B478" s="3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>
      <c r="A479" s="10" t="n"/>
      <c r="B479" s="3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>
      <c r="A480" s="10" t="n"/>
      <c r="B480" s="3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>
      <c r="A481" s="10" t="n"/>
      <c r="B481" s="3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>
      <c r="A482" s="10" t="n"/>
      <c r="B482" s="3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>
      <c r="A483" s="10" t="n"/>
      <c r="B483" s="3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>
      <c r="A484" s="10" t="n"/>
      <c r="B484" s="3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>
      <c r="A485" s="10" t="n"/>
      <c r="B485" s="3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>
      <c r="A486" s="10" t="n"/>
      <c r="B486" s="3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>
      <c r="A487" s="10" t="n"/>
      <c r="B487" s="3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>
      <c r="A488" s="10" t="n"/>
      <c r="B488" s="3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>
      <c r="A489" s="10" t="n"/>
      <c r="B489" s="3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>
      <c r="A490" s="10" t="n"/>
      <c r="B490" s="3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>
      <c r="A491" s="10" t="n"/>
      <c r="B491" s="3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>
      <c r="A492" s="10" t="n"/>
      <c r="B492" s="3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>
      <c r="A493" s="10" t="n"/>
      <c r="B493" s="3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>
      <c r="A494" s="10" t="n"/>
      <c r="B494" s="3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>
      <c r="A495" s="10" t="n"/>
      <c r="B495" s="3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>
      <c r="A496" s="10" t="n"/>
      <c r="B496" s="3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>
      <c r="A497" s="10" t="n"/>
      <c r="B497" s="3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>
      <c r="A498" s="10" t="n"/>
      <c r="B498" s="3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>
      <c r="A499" s="10" t="n"/>
      <c r="B499" s="3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>
      <c r="A500" s="10" t="n"/>
      <c r="B500" s="3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>
      <c r="A501" s="10" t="n"/>
      <c r="B501" s="3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>
      <c r="A502" s="10" t="n"/>
      <c r="B502" s="3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>
      <c r="A503" s="10" t="n"/>
      <c r="B503" s="3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>
      <c r="A504" s="10" t="n"/>
      <c r="B504" s="3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>
      <c r="A505" s="10" t="n"/>
      <c r="B505" s="3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>
      <c r="A506" s="10" t="n"/>
      <c r="B506" s="3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>
      <c r="A507" s="10" t="n"/>
      <c r="B507" s="3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>
      <c r="A508" s="10" t="n"/>
      <c r="B508" s="3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>
      <c r="A509" s="10" t="n"/>
      <c r="B509" s="3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>
      <c r="A510" s="10" t="n"/>
      <c r="B510" s="3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>
      <c r="A511" s="10" t="n"/>
      <c r="B511" s="3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>
      <c r="A512" s="10" t="n"/>
      <c r="B512" s="3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>
      <c r="A513" s="10" t="n"/>
      <c r="B513" s="3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>
      <c r="A514" s="10" t="n"/>
      <c r="B514" s="3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>
      <c r="A515" s="10" t="n"/>
      <c r="B515" s="3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>
      <c r="A516" s="10" t="n"/>
      <c r="B516" s="3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>
      <c r="A517" s="10" t="n"/>
      <c r="B517" s="3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>
      <c r="A518" s="10" t="n"/>
      <c r="B518" s="3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>
      <c r="A519" s="10" t="n"/>
      <c r="B519" s="3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>
      <c r="A520" s="10" t="n"/>
      <c r="B520" s="3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>
      <c r="A521" s="10" t="n"/>
      <c r="B521" s="3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>
      <c r="A522" s="10" t="n"/>
      <c r="B522" s="3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>
      <c r="A523" s="10" t="n"/>
      <c r="B523" s="3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>
      <c r="A524" s="10" t="n"/>
      <c r="B524" s="3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>
      <c r="A525" s="10" t="n"/>
      <c r="B525" s="3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>
      <c r="A526" s="10" t="n"/>
      <c r="B526" s="3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>
      <c r="A527" s="10" t="n"/>
      <c r="B527" s="3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>
      <c r="A528" s="10" t="n"/>
      <c r="B528" s="3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>
      <c r="A529" s="10" t="n"/>
      <c r="B529" s="3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>
      <c r="A530" s="10" t="n"/>
      <c r="B530" s="3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>
      <c r="A531" s="10" t="n"/>
      <c r="B531" s="3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>
      <c r="A532" s="10" t="n"/>
      <c r="B532" s="3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>
      <c r="A533" s="10" t="n"/>
      <c r="B533" s="3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>
      <c r="A534" s="10" t="n"/>
      <c r="B534" s="3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>
      <c r="A535" s="10" t="n"/>
      <c r="B535" s="3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>
      <c r="A536" s="10" t="n"/>
      <c r="B536" s="3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>
      <c r="A537" s="10" t="n"/>
      <c r="B537" s="3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>
      <c r="A538" s="10" t="n"/>
      <c r="B538" s="3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>
      <c r="A539" s="10" t="n"/>
      <c r="B539" s="3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>
      <c r="A540" s="10" t="n"/>
      <c r="B540" s="3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>
      <c r="A541" s="10" t="n"/>
      <c r="B541" s="3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>
      <c r="A542" s="10" t="n"/>
      <c r="B542" s="3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>
      <c r="A543" s="10" t="n"/>
      <c r="B543" s="3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>
      <c r="A544" s="10" t="n"/>
      <c r="B544" s="3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>
      <c r="A545" s="10" t="n"/>
      <c r="B545" s="3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>
      <c r="A546" s="10" t="n"/>
      <c r="B546" s="3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>
      <c r="A547" s="10" t="n"/>
      <c r="B547" s="3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>
      <c r="A548" s="10" t="n"/>
      <c r="B548" s="3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>
      <c r="A549" s="10" t="n"/>
      <c r="B549" s="3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>
      <c r="A550" s="10" t="n"/>
      <c r="B550" s="3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>
      <c r="A551" s="10" t="n"/>
      <c r="B551" s="3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>
      <c r="A552" s="10" t="n"/>
      <c r="B552" s="3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>
      <c r="A553" s="10" t="n"/>
      <c r="B553" s="3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>
      <c r="A554" s="10" t="n"/>
      <c r="B554" s="3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>
      <c r="A555" s="10" t="n"/>
      <c r="B555" s="3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>
      <c r="A556" s="10" t="n"/>
      <c r="B556" s="3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>
      <c r="A557" s="10" t="n"/>
      <c r="B557" s="3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>
      <c r="A558" s="10" t="n"/>
      <c r="B558" s="3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>
      <c r="A559" s="10" t="n"/>
      <c r="B559" s="3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>
      <c r="A560" s="10" t="n"/>
      <c r="B560" s="3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>
      <c r="A561" s="10" t="n"/>
      <c r="B561" s="3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>
      <c r="A562" s="10" t="n"/>
      <c r="B562" s="3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>
      <c r="A563" s="10" t="n"/>
      <c r="B563" s="3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>
      <c r="A564" s="10" t="n"/>
      <c r="B564" s="3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>
      <c r="A565" s="10" t="n"/>
      <c r="B565" s="3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>
      <c r="A566" s="10" t="n"/>
      <c r="B566" s="3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>
      <c r="A567" s="10" t="n"/>
      <c r="B567" s="3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>
      <c r="A568" s="10" t="n"/>
      <c r="B568" s="3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>
      <c r="A569" s="10" t="n"/>
      <c r="B569" s="3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>
      <c r="A570" s="10" t="n"/>
      <c r="B570" s="3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>
      <c r="A571" s="10" t="n"/>
      <c r="B571" s="3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>
      <c r="A572" s="10" t="n"/>
      <c r="B572" s="3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>
      <c r="A573" s="10" t="n"/>
      <c r="B573" s="3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>
      <c r="A574" s="10" t="n"/>
      <c r="B574" s="3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>
      <c r="A575" s="10" t="n"/>
      <c r="B575" s="3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>
      <c r="A576" s="10" t="n"/>
      <c r="B576" s="3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>
      <c r="A577" s="10" t="n"/>
      <c r="B577" s="3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>
      <c r="A578" s="10" t="n"/>
      <c r="B578" s="3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>
      <c r="A579" s="10" t="n"/>
      <c r="B579" s="3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>
      <c r="A580" s="10" t="n"/>
      <c r="B580" s="3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>
      <c r="A581" s="10" t="n"/>
      <c r="B581" s="3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>
      <c r="A582" s="10" t="n"/>
      <c r="B582" s="3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>
      <c r="A583" s="10" t="n"/>
      <c r="B583" s="3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>
      <c r="A584" s="10" t="n"/>
      <c r="B584" s="3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>
      <c r="A585" s="10" t="n"/>
      <c r="B585" s="3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>
      <c r="A586" s="10" t="n"/>
      <c r="B586" s="3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>
      <c r="A587" s="10" t="n"/>
      <c r="B587" s="3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>
      <c r="A588" s="10" t="n"/>
      <c r="B588" s="3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>
      <c r="A589" s="10" t="n"/>
      <c r="B589" s="3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>
      <c r="A590" s="10" t="n"/>
      <c r="B590" s="3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>
      <c r="A591" s="10" t="n"/>
      <c r="B591" s="3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>
      <c r="A592" s="10" t="n"/>
      <c r="B592" s="3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>
      <c r="A593" s="10" t="n"/>
      <c r="B593" s="3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>
      <c r="A594" s="10" t="n"/>
      <c r="B594" s="3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>
      <c r="A595" s="10" t="n"/>
      <c r="B595" s="3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>
      <c r="A596" s="10" t="n"/>
      <c r="B596" s="3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>
      <c r="A597" s="10" t="n"/>
      <c r="B597" s="3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>
      <c r="A598" s="10" t="n"/>
      <c r="B598" s="3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>
      <c r="A599" s="10" t="n"/>
      <c r="B599" s="3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>
      <c r="A600" s="10" t="n"/>
      <c r="B600" s="3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>
      <c r="A601" s="10" t="n"/>
      <c r="B601" s="3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>
      <c r="A602" s="10" t="n"/>
      <c r="B602" s="3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>
      <c r="A603" s="10" t="n"/>
      <c r="B603" s="3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>
      <c r="A604" s="10" t="n"/>
      <c r="B604" s="3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>
      <c r="A605" s="10" t="n"/>
      <c r="B605" s="3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>
      <c r="A606" s="10" t="n"/>
      <c r="B606" s="3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>
      <c r="A607" s="10" t="n"/>
      <c r="B607" s="3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>
      <c r="A608" s="10" t="n"/>
      <c r="B608" s="3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>
      <c r="A609" s="10" t="n"/>
      <c r="B609" s="3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>
      <c r="A610" s="10" t="n"/>
      <c r="B610" s="3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>
      <c r="A611" s="10" t="n"/>
      <c r="B611" s="3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>
      <c r="A612" s="10" t="n"/>
      <c r="B612" s="3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>
      <c r="A613" s="10" t="n"/>
      <c r="B613" s="3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>
      <c r="A614" s="10" t="n"/>
      <c r="B614" s="3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>
      <c r="A615" s="10" t="n"/>
      <c r="B615" s="3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>
      <c r="A616" s="10" t="n"/>
      <c r="B616" s="3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>
      <c r="A617" s="10" t="n"/>
      <c r="B617" s="3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>
      <c r="A618" s="10" t="n"/>
      <c r="B618" s="3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>
      <c r="A619" s="10" t="n"/>
      <c r="B619" s="3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>
      <c r="A620" s="10" t="n"/>
      <c r="B620" s="3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>
      <c r="A621" s="10" t="n"/>
      <c r="B621" s="3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>
      <c r="A622" s="10" t="n"/>
      <c r="B622" s="3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>
      <c r="A623" s="10" t="n"/>
      <c r="B623" s="3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>
      <c r="A624" s="10" t="n"/>
      <c r="B624" s="3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>
      <c r="A625" s="10" t="n"/>
      <c r="B625" s="3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>
      <c r="A626" s="10" t="n"/>
      <c r="B626" s="3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>
      <c r="A627" s="10" t="n"/>
      <c r="B627" s="3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>
      <c r="A628" s="10" t="n"/>
      <c r="B628" s="3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>
      <c r="A629" s="10" t="n"/>
      <c r="B629" s="3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>
      <c r="A630" s="10" t="n"/>
      <c r="B630" s="3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>
      <c r="A631" s="10" t="n"/>
      <c r="B631" s="3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>
      <c r="A632" s="10" t="n"/>
      <c r="B632" s="3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>
      <c r="A633" s="10" t="n"/>
      <c r="B633" s="3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>
      <c r="A634" s="10" t="n"/>
      <c r="B634" s="3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>
      <c r="A635" s="10" t="n"/>
      <c r="B635" s="3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>
      <c r="A636" s="10" t="n"/>
      <c r="B636" s="3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>
      <c r="A637" s="10" t="n"/>
      <c r="B637" s="3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>
      <c r="A638" s="10" t="n"/>
      <c r="B638" s="3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>
      <c r="A639" s="10" t="n"/>
      <c r="B639" s="3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>
      <c r="A640" s="10" t="n"/>
      <c r="B640" s="3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>
      <c r="A641" s="10" t="n"/>
      <c r="B641" s="3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>
      <c r="A642" s="10" t="n"/>
      <c r="B642" s="3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>
      <c r="A643" s="10" t="n"/>
      <c r="B643" s="3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>
      <c r="A644" s="10" t="n"/>
      <c r="B644" s="3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>
      <c r="A645" s="10" t="n"/>
      <c r="B645" s="3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>
      <c r="A646" s="10" t="n"/>
      <c r="B646" s="3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>
      <c r="A647" s="10" t="n"/>
      <c r="B647" s="3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>
      <c r="A648" s="10" t="n"/>
      <c r="B648" s="3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>
      <c r="A649" s="10" t="n"/>
      <c r="B649" s="3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>
      <c r="A650" s="10" t="n"/>
      <c r="B650" s="3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>
      <c r="A651" s="10" t="n"/>
      <c r="B651" s="3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>
      <c r="A652" s="10" t="n"/>
      <c r="B652" s="3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>
      <c r="A653" s="10" t="n"/>
      <c r="B653" s="3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>
      <c r="A654" s="10" t="n"/>
      <c r="B654" s="3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>
      <c r="A655" s="10" t="n"/>
      <c r="B655" s="3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>
      <c r="A656" s="10" t="n"/>
      <c r="B656" s="3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>
      <c r="A657" s="10" t="n"/>
      <c r="B657" s="3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>
      <c r="A658" s="10" t="n"/>
      <c r="B658" s="3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>
      <c r="A659" s="10" t="n"/>
      <c r="B659" s="3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>
      <c r="A660" s="10" t="n"/>
      <c r="B660" s="3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>
      <c r="A661" s="10" t="n"/>
      <c r="B661" s="3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>
      <c r="A662" s="10" t="n"/>
      <c r="B662" s="3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>
      <c r="A663" s="10" t="n"/>
      <c r="B663" s="3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>
      <c r="A664" s="10" t="n"/>
      <c r="B664" s="3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>
      <c r="A665" s="10" t="n"/>
      <c r="B665" s="3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>
      <c r="A666" s="10" t="n"/>
      <c r="B666" s="3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>
      <c r="A667" s="10" t="n"/>
      <c r="B667" s="3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>
      <c r="A668" s="10" t="n"/>
      <c r="B668" s="3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>
      <c r="A669" s="10" t="n"/>
      <c r="B669" s="3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>
      <c r="A670" s="10" t="n"/>
      <c r="B670" s="3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>
      <c r="A671" s="10" t="n"/>
      <c r="B671" s="3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>
      <c r="A672" s="10" t="n"/>
      <c r="B672" s="3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>
      <c r="A673" s="10" t="n"/>
      <c r="B673" s="3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>
      <c r="A674" s="10" t="n"/>
      <c r="B674" s="3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>
      <c r="A675" s="10" t="n"/>
      <c r="B675" s="3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>
      <c r="A676" s="10" t="n"/>
      <c r="B676" s="3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>
      <c r="A677" s="10" t="n"/>
      <c r="B677" s="3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>
      <c r="A678" s="10" t="n"/>
      <c r="B678" s="3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>
      <c r="A679" s="10" t="n"/>
      <c r="B679" s="3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>
      <c r="A680" s="10" t="n"/>
      <c r="B680" s="3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>
      <c r="A681" s="10" t="n"/>
      <c r="B681" s="3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>
      <c r="A682" s="10" t="n"/>
      <c r="B682" s="3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>
      <c r="A683" s="10" t="n"/>
      <c r="B683" s="3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>
      <c r="A684" s="10" t="n"/>
      <c r="B684" s="3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>
      <c r="A685" s="10" t="n"/>
      <c r="B685" s="3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>
      <c r="A686" s="10" t="n"/>
      <c r="B686" s="3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>
      <c r="A687" s="10" t="n"/>
      <c r="B687" s="3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>
      <c r="A688" s="10" t="n"/>
      <c r="B688" s="3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>
      <c r="A689" s="10" t="n"/>
      <c r="B689" s="3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>
      <c r="A690" s="10" t="n"/>
      <c r="B690" s="3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>
      <c r="A691" s="10" t="n"/>
      <c r="B691" s="3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>
      <c r="A692" s="10" t="n"/>
      <c r="B692" s="3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>
      <c r="A693" s="10" t="n"/>
      <c r="B693" s="3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>
      <c r="A694" s="10" t="n"/>
      <c r="B694" s="3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>
      <c r="A695" s="10" t="n"/>
      <c r="B695" s="3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>
      <c r="A696" s="10" t="n"/>
      <c r="B696" s="3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>
      <c r="A697" s="10" t="n"/>
      <c r="B697" s="3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>
      <c r="A698" s="10" t="n"/>
      <c r="B698" s="3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>
      <c r="A699" s="10" t="n"/>
      <c r="B699" s="3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>
      <c r="A700" s="10" t="n"/>
      <c r="B700" s="3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>
      <c r="A701" s="10" t="n"/>
      <c r="B701" s="3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>
      <c r="A702" s="10" t="n"/>
      <c r="B702" s="3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>
      <c r="A703" s="10" t="n"/>
      <c r="B703" s="3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>
      <c r="A704" s="10" t="n"/>
      <c r="B704" s="3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>
      <c r="A705" s="10" t="n"/>
      <c r="B705" s="3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>
      <c r="A706" s="10" t="n"/>
      <c r="B706" s="3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>
      <c r="A707" s="10" t="n"/>
      <c r="B707" s="3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>
      <c r="A708" s="10" t="n"/>
      <c r="B708" s="3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>
      <c r="A709" s="10" t="n"/>
      <c r="B709" s="3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>
      <c r="A710" s="10" t="n"/>
      <c r="B710" s="3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>
      <c r="A711" s="10" t="n"/>
      <c r="B711" s="3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>
      <c r="A712" s="10" t="n"/>
      <c r="B712" s="3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>
      <c r="A713" s="10" t="n"/>
      <c r="B713" s="3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>
      <c r="A714" s="10" t="n"/>
      <c r="B714" s="3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>
      <c r="A715" s="10" t="n"/>
      <c r="B715" s="3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>
      <c r="A716" s="10" t="n"/>
      <c r="B716" s="3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>
      <c r="A717" s="10" t="n"/>
      <c r="B717" s="3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>
      <c r="A718" s="10" t="n"/>
      <c r="B718" s="3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>
      <c r="A719" s="10" t="n"/>
      <c r="B719" s="3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>
      <c r="A720" s="10" t="n"/>
      <c r="B720" s="3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>
      <c r="A721" s="10" t="n"/>
      <c r="B721" s="3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>
      <c r="A722" s="10" t="n"/>
      <c r="B722" s="3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>
      <c r="A723" s="10" t="n"/>
      <c r="B723" s="3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>
      <c r="A724" s="10" t="n"/>
      <c r="B724" s="3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>
      <c r="A725" s="10" t="n"/>
      <c r="B725" s="3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>
      <c r="A726" s="10" t="n"/>
      <c r="B726" s="3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>
      <c r="A727" s="10" t="n"/>
      <c r="B727" s="3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>
      <c r="A728" s="10" t="n"/>
      <c r="B728" s="3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>
      <c r="A729" s="10" t="n"/>
      <c r="B729" s="3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>
      <c r="A730" s="10" t="n"/>
      <c r="B730" s="3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>
      <c r="A731" s="10" t="n"/>
      <c r="B731" s="3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>
      <c r="A732" s="10" t="n"/>
      <c r="B732" s="3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>
      <c r="A733" s="10" t="n"/>
      <c r="B733" s="3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>
      <c r="A734" s="10" t="n"/>
      <c r="B734" s="3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>
      <c r="A735" s="10" t="n"/>
      <c r="B735" s="3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>
      <c r="A736" s="10" t="n"/>
      <c r="B736" s="3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>
      <c r="A737" s="10" t="n"/>
      <c r="B737" s="3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>
      <c r="A738" s="10" t="n"/>
      <c r="B738" s="3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>
      <c r="A739" s="10" t="n"/>
      <c r="B739" s="3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>
      <c r="A740" s="10" t="n"/>
      <c r="B740" s="3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>
      <c r="A741" s="10" t="n"/>
      <c r="B741" s="3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>
      <c r="A742" s="10" t="n"/>
      <c r="B742" s="3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>
      <c r="A743" s="10" t="n"/>
      <c r="B743" s="3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>
      <c r="A744" s="10" t="n"/>
      <c r="B744" s="3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>
      <c r="A745" s="10" t="n"/>
      <c r="B745" s="3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>
      <c r="A746" s="10" t="n"/>
      <c r="B746" s="3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>
      <c r="A747" s="10" t="n"/>
      <c r="B747" s="3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>
      <c r="A748" s="10" t="n"/>
      <c r="B748" s="3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>
      <c r="A749" s="10" t="n"/>
      <c r="B749" s="3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>
      <c r="A750" s="10" t="n"/>
      <c r="B750" s="3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>
      <c r="A751" s="10" t="n"/>
      <c r="B751" s="3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>
      <c r="A752" s="10" t="n"/>
      <c r="B752" s="3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>
      <c r="A753" s="10" t="n"/>
      <c r="B753" s="3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>
      <c r="A754" s="10" t="n"/>
      <c r="B754" s="3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>
      <c r="A755" s="10" t="n"/>
      <c r="B755" s="3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>
      <c r="A756" s="10" t="n"/>
      <c r="B756" s="3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>
      <c r="A757" s="10" t="n"/>
      <c r="B757" s="3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>
      <c r="A758" s="10" t="n"/>
      <c r="B758" s="3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>
      <c r="A759" s="10" t="n"/>
      <c r="B759" s="3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>
      <c r="A760" s="10" t="n"/>
      <c r="B760" s="3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>
      <c r="A761" s="10" t="n"/>
      <c r="B761" s="3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>
      <c r="A762" s="10" t="n"/>
      <c r="B762" s="3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>
      <c r="A763" s="10" t="n"/>
      <c r="B763" s="3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>
      <c r="A764" s="10" t="n"/>
      <c r="B764" s="3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>
      <c r="A765" s="10" t="n"/>
      <c r="B765" s="3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>
      <c r="A766" s="10" t="n"/>
      <c r="B766" s="3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>
      <c r="A767" s="10" t="n"/>
      <c r="B767" s="3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>
      <c r="A768" s="10" t="n"/>
      <c r="B768" s="3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>
      <c r="A769" s="10" t="n"/>
      <c r="B769" s="3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>
      <c r="A770" s="10" t="n"/>
      <c r="B770" s="3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>
      <c r="A771" s="10" t="n"/>
      <c r="B771" s="3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>
      <c r="A772" s="10" t="n"/>
      <c r="B772" s="3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>
      <c r="A773" s="10" t="n"/>
      <c r="B773" s="3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>
      <c r="A774" s="10" t="n"/>
      <c r="B774" s="3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>
      <c r="A775" s="10" t="n"/>
      <c r="B775" s="3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>
      <c r="A776" s="10" t="n"/>
      <c r="B776" s="3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>
      <c r="A777" s="10" t="n"/>
      <c r="B777" s="3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>
      <c r="A778" s="10" t="n"/>
      <c r="B778" s="3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>
      <c r="A779" s="10" t="n"/>
      <c r="B779" s="3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>
      <c r="A780" s="10" t="n"/>
      <c r="B780" s="3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>
      <c r="A781" s="10" t="n"/>
      <c r="B781" s="3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>
      <c r="A782" s="10" t="n"/>
      <c r="B782" s="3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>
      <c r="A783" s="10" t="n"/>
      <c r="B783" s="3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>
      <c r="A784" s="10" t="n"/>
      <c r="B784" s="3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>
      <c r="A785" s="10" t="n"/>
      <c r="B785" s="3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>
      <c r="A786" s="10" t="n"/>
      <c r="B786" s="3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>
      <c r="A787" s="10" t="n"/>
      <c r="B787" s="3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>
      <c r="A788" s="10" t="n"/>
      <c r="B788" s="3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>
      <c r="A789" s="10" t="n"/>
      <c r="B789" s="3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>
      <c r="A790" s="10" t="n"/>
      <c r="B790" s="3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>
      <c r="A791" s="10" t="n"/>
      <c r="B791" s="3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>
      <c r="A792" s="10" t="n"/>
      <c r="B792" s="3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>
      <c r="A793" s="10" t="n"/>
      <c r="B793" s="3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>
      <c r="A794" s="10" t="n"/>
      <c r="B794" s="3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>
      <c r="A795" s="10" t="n"/>
      <c r="B795" s="3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>
      <c r="A796" s="10" t="n"/>
      <c r="B796" s="3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>
      <c r="A797" s="10" t="n"/>
      <c r="B797" s="3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>
      <c r="A798" s="10" t="n"/>
      <c r="B798" s="3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>
      <c r="A799" s="10" t="n"/>
      <c r="B799" s="3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>
      <c r="A800" s="10" t="n"/>
      <c r="B800" s="3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>
      <c r="A801" s="10" t="n"/>
      <c r="B801" s="3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>
      <c r="A802" s="10" t="n"/>
      <c r="B802" s="3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>
      <c r="A803" s="10" t="n"/>
      <c r="B803" s="3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>
      <c r="A804" s="10" t="n"/>
      <c r="B804" s="3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>
      <c r="A805" s="10" t="n"/>
      <c r="B805" s="3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>
      <c r="A806" s="10" t="n"/>
      <c r="B806" s="3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>
      <c r="A807" s="10" t="n"/>
      <c r="B807" s="3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>
      <c r="A808" s="10" t="n"/>
      <c r="B808" s="3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>
      <c r="A809" s="10" t="n"/>
      <c r="B809" s="3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>
      <c r="A810" s="10" t="n"/>
      <c r="B810" s="3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>
      <c r="A811" s="10" t="n"/>
      <c r="B811" s="3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>
      <c r="A812" s="10" t="n"/>
      <c r="B812" s="3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>
      <c r="A813" s="10" t="n"/>
      <c r="B813" s="3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>
      <c r="A814" s="10" t="n"/>
      <c r="B814" s="3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>
      <c r="A815" s="10" t="n"/>
      <c r="B815" s="3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>
      <c r="A816" s="10" t="n"/>
      <c r="B816" s="3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>
      <c r="A817" s="10" t="n"/>
      <c r="B817" s="3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>
      <c r="A818" s="10" t="n"/>
      <c r="B818" s="3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>
      <c r="A819" s="10" t="n"/>
      <c r="B819" s="3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>
      <c r="A820" s="10" t="n"/>
      <c r="B820" s="3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>
      <c r="A821" s="10" t="n"/>
      <c r="B821" s="3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>
      <c r="A822" s="10" t="n"/>
      <c r="B822" s="3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>
      <c r="A823" s="10" t="n"/>
      <c r="B823" s="3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>
      <c r="A824" s="10" t="n"/>
      <c r="B824" s="3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>
      <c r="A825" s="10" t="n"/>
      <c r="B825" s="3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>
      <c r="A826" s="10" t="n"/>
      <c r="B826" s="3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>
      <c r="A827" s="10" t="n"/>
      <c r="B827" s="3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>
      <c r="A828" s="10" t="n"/>
      <c r="B828" s="3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>
      <c r="A829" s="10" t="n"/>
      <c r="B829" s="3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>
      <c r="A830" s="10" t="n"/>
      <c r="B830" s="3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>
      <c r="A831" s="10" t="n"/>
      <c r="B831" s="3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>
      <c r="A832" s="10" t="n"/>
      <c r="B832" s="3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>
      <c r="A833" s="10" t="n"/>
      <c r="B833" s="3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>
      <c r="A834" s="10" t="n"/>
      <c r="B834" s="3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>
      <c r="A835" s="10" t="n"/>
      <c r="B835" s="3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>
      <c r="A836" s="10" t="n"/>
      <c r="B836" s="3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>
      <c r="A837" s="10" t="n"/>
      <c r="B837" s="3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>
      <c r="A838" s="10" t="n"/>
      <c r="B838" s="3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>
      <c r="A839" s="10" t="n"/>
      <c r="B839" s="3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>
      <c r="A840" s="10" t="n"/>
      <c r="B840" s="3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>
      <c r="A841" s="10" t="n"/>
      <c r="B841" s="3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>
      <c r="A842" s="10" t="n"/>
      <c r="B842" s="3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>
      <c r="A843" s="10" t="n"/>
      <c r="B843" s="3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>
      <c r="A844" s="10" t="n"/>
      <c r="B844" s="3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>
      <c r="A845" s="10" t="n"/>
      <c r="B845" s="3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>
      <c r="A846" s="10" t="n"/>
      <c r="B846" s="3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>
      <c r="A847" s="10" t="n"/>
      <c r="B847" s="3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>
      <c r="A848" s="10" t="n"/>
      <c r="B848" s="3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>
      <c r="A849" s="10" t="n"/>
      <c r="B849" s="3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>
      <c r="A850" s="10" t="n"/>
      <c r="B850" s="3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>
      <c r="A851" s="10" t="n"/>
      <c r="B851" s="3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>
      <c r="A852" s="10" t="n"/>
      <c r="B852" s="3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>
      <c r="A853" s="10" t="n"/>
      <c r="B853" s="3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>
      <c r="A854" s="10" t="n"/>
      <c r="B854" s="3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>
      <c r="A855" s="10" t="n"/>
      <c r="B855" s="3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>
      <c r="A856" s="10" t="n"/>
      <c r="B856" s="3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>
      <c r="A857" s="10" t="n"/>
      <c r="B857" s="3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>
      <c r="A858" s="10" t="n"/>
      <c r="B858" s="3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>
      <c r="A859" s="10" t="n"/>
      <c r="B859" s="3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>
      <c r="A860" s="10" t="n"/>
      <c r="B860" s="3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>
      <c r="A861" s="10" t="n"/>
      <c r="B861" s="3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>
      <c r="A862" s="10" t="n"/>
      <c r="B862" s="3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>
      <c r="A863" s="10" t="n"/>
      <c r="B863" s="3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>
      <c r="A864" s="10" t="n"/>
      <c r="B864" s="3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>
      <c r="A865" s="10" t="n"/>
      <c r="B865" s="3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>
      <c r="A866" s="10" t="n"/>
      <c r="B866" s="3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>
      <c r="A867" s="10" t="n"/>
      <c r="B867" s="3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>
      <c r="A868" s="10" t="n"/>
      <c r="B868" s="3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>
      <c r="A869" s="10" t="n"/>
      <c r="B869" s="3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>
      <c r="A870" s="10" t="n"/>
      <c r="B870" s="3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>
      <c r="A871" s="10" t="n"/>
      <c r="B871" s="3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>
      <c r="A872" s="10" t="n"/>
      <c r="B872" s="3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>
      <c r="A873" s="10" t="n"/>
      <c r="B873" s="3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>
      <c r="A874" s="10" t="n"/>
      <c r="B874" s="3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>
      <c r="A875" s="10" t="n"/>
      <c r="B875" s="3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>
      <c r="A876" s="10" t="n"/>
      <c r="B876" s="3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>
      <c r="A877" s="10" t="n"/>
      <c r="B877" s="3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>
      <c r="A878" s="10" t="n"/>
      <c r="B878" s="3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>
      <c r="A879" s="10" t="n"/>
      <c r="B879" s="3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>
      <c r="A880" s="10" t="n"/>
      <c r="B880" s="3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>
      <c r="A881" s="10" t="n"/>
      <c r="B881" s="3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>
      <c r="A882" s="10" t="n"/>
      <c r="B882" s="3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>
      <c r="A883" s="10" t="n"/>
      <c r="B883" s="3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>
      <c r="A884" s="10" t="n"/>
      <c r="B884" s="3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>
      <c r="A885" s="10" t="n"/>
      <c r="B885" s="3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>
      <c r="A886" s="10" t="n"/>
      <c r="B886" s="3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>
      <c r="A887" s="10" t="n"/>
      <c r="B887" s="3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>
      <c r="A888" s="10" t="n"/>
      <c r="B888" s="3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>
      <c r="A889" s="10" t="n"/>
      <c r="B889" s="3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>
      <c r="A890" s="10" t="n"/>
      <c r="B890" s="3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>
      <c r="A891" s="10" t="n"/>
      <c r="B891" s="3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>
      <c r="A892" s="10" t="n"/>
      <c r="B892" s="3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>
      <c r="A893" s="10" t="n"/>
      <c r="B893" s="3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>
      <c r="A894" s="10" t="n"/>
      <c r="B894" s="3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>
      <c r="A895" s="10" t="n"/>
      <c r="B895" s="3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>
      <c r="A896" s="10" t="n"/>
      <c r="B896" s="3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>
      <c r="A897" s="10" t="n"/>
      <c r="B897" s="3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>
      <c r="A898" s="10" t="n"/>
      <c r="B898" s="3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>
      <c r="A899" s="10" t="n"/>
      <c r="B899" s="3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>
      <c r="A900" s="10" t="n"/>
      <c r="B900" s="3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>
      <c r="A901" s="10" t="n"/>
      <c r="B901" s="3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>
      <c r="A902" s="10" t="n"/>
      <c r="B902" s="3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>
      <c r="A903" s="10" t="n"/>
      <c r="B903" s="3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>
      <c r="A904" s="10" t="n"/>
      <c r="B904" s="3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>
      <c r="A905" s="10" t="n"/>
      <c r="B905" s="3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>
      <c r="A906" s="10" t="n"/>
      <c r="B906" s="3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>
      <c r="A907" s="10" t="n"/>
      <c r="B907" s="3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>
      <c r="A908" s="10" t="n"/>
      <c r="B908" s="3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>
      <c r="A909" s="10" t="n"/>
      <c r="B909" s="3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>
      <c r="A910" s="10" t="n"/>
      <c r="B910" s="3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>
      <c r="A911" s="10" t="n"/>
      <c r="B911" s="3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>
      <c r="A912" s="10" t="n"/>
      <c r="B912" s="3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>
      <c r="A913" s="10" t="n"/>
      <c r="B913" s="3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>
      <c r="A914" s="10" t="n"/>
      <c r="B914" s="3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>
      <c r="A915" s="10" t="n"/>
      <c r="B915" s="3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>
      <c r="A916" s="10" t="n"/>
      <c r="B916" s="3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>
      <c r="A917" s="10" t="n"/>
      <c r="B917" s="3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>
      <c r="A918" s="10" t="n"/>
      <c r="B918" s="3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>
      <c r="A919" s="10" t="n"/>
      <c r="B919" s="3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>
      <c r="A920" s="10" t="n"/>
      <c r="B920" s="3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>
      <c r="A921" s="10" t="n"/>
      <c r="B921" s="3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>
      <c r="A922" s="10" t="n"/>
      <c r="B922" s="3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>
      <c r="A923" s="10" t="n"/>
      <c r="B923" s="3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>
      <c r="A924" s="10" t="n"/>
      <c r="B924" s="3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>
      <c r="A925" s="10" t="n"/>
      <c r="B925" s="3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>
      <c r="A926" s="10" t="n"/>
      <c r="B926" s="3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>
      <c r="A927" s="10" t="n"/>
      <c r="B927" s="3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>
      <c r="A928" s="10" t="n"/>
      <c r="B928" s="3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>
      <c r="A929" s="10" t="n"/>
      <c r="B929" s="3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>
      <c r="A930" s="10" t="n"/>
      <c r="B930" s="3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>
      <c r="A931" s="10" t="n"/>
      <c r="B931" s="3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>
      <c r="A932" s="10" t="n"/>
      <c r="B932" s="3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>
      <c r="A933" s="10" t="n"/>
      <c r="B933" s="3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>
      <c r="A934" s="10" t="n"/>
      <c r="B934" s="3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>
      <c r="A935" s="10" t="n"/>
      <c r="B935" s="3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>
      <c r="A936" s="10" t="n"/>
      <c r="B936" s="3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>
      <c r="A937" s="10" t="n"/>
      <c r="B937" s="3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>
      <c r="A938" s="10" t="n"/>
      <c r="B938" s="3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>
      <c r="A939" s="10" t="n"/>
      <c r="B939" s="3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>
      <c r="A940" s="10" t="n"/>
      <c r="B940" s="3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>
      <c r="A941" s="10" t="n"/>
      <c r="B941" s="3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>
      <c r="A942" s="10" t="n"/>
      <c r="B942" s="3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>
      <c r="A943" s="10" t="n"/>
      <c r="B943" s="3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>
      <c r="A944" s="10" t="n"/>
      <c r="B944" s="3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>
      <c r="A945" s="10" t="n"/>
      <c r="B945" s="3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>
      <c r="A946" s="10" t="n"/>
      <c r="B946" s="3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>
      <c r="A947" s="10" t="n"/>
      <c r="B947" s="3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>
      <c r="A948" s="10" t="n"/>
      <c r="B948" s="3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>
      <c r="A949" s="10" t="n"/>
      <c r="B949" s="3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>
      <c r="A950" s="10" t="n"/>
      <c r="B950" s="3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>
      <c r="A951" s="10" t="n"/>
      <c r="B951" s="3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>
      <c r="A952" s="10" t="n"/>
      <c r="B952" s="3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>
      <c r="A953" s="10" t="n"/>
      <c r="B953" s="3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>
      <c r="A954" s="10" t="n"/>
      <c r="B954" s="3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>
      <c r="A955" s="10" t="n"/>
      <c r="B955" s="3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>
      <c r="A956" s="10" t="n"/>
      <c r="B956" s="3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>
      <c r="A957" s="10" t="n"/>
      <c r="B957" s="3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>
      <c r="A958" s="10" t="n"/>
      <c r="B958" s="3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>
      <c r="A959" s="10" t="n"/>
      <c r="B959" s="3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>
      <c r="A960" s="10" t="n"/>
      <c r="B960" s="3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>
      <c r="A961" s="10" t="n"/>
      <c r="B961" s="3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>
      <c r="A962" s="10" t="n"/>
      <c r="B962" s="3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>
      <c r="A963" s="10" t="n"/>
      <c r="B963" s="3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>
      <c r="A964" s="10" t="n"/>
      <c r="B964" s="3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>
      <c r="A965" s="10" t="n"/>
      <c r="B965" s="3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>
      <c r="A966" s="10" t="n"/>
      <c r="B966" s="3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>
      <c r="A967" s="10" t="n"/>
      <c r="B967" s="3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>
      <c r="A968" s="10" t="n"/>
      <c r="B968" s="3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>
      <c r="A969" s="10" t="n"/>
      <c r="B969" s="3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>
      <c r="A970" s="10" t="n"/>
      <c r="B970" s="3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>
      <c r="A971" s="10" t="n"/>
      <c r="B971" s="3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>
      <c r="A972" s="10" t="n"/>
      <c r="B972" s="3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>
      <c r="A973" s="10" t="n"/>
      <c r="B973" s="3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>
      <c r="A974" s="10" t="n"/>
      <c r="B974" s="3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>
      <c r="A975" s="10" t="n"/>
      <c r="B975" s="3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>
      <c r="A976" s="10" t="n"/>
      <c r="B976" s="3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>
      <c r="A977" s="10" t="n"/>
      <c r="B977" s="3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>
      <c r="A978" s="10" t="n"/>
      <c r="B978" s="3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>
      <c r="A979" s="10" t="n"/>
      <c r="B979" s="3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>
      <c r="A980" s="10" t="n"/>
      <c r="B980" s="3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>
      <c r="A981" s="10" t="n"/>
      <c r="B981" s="3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>
      <c r="A982" s="10" t="n"/>
      <c r="B982" s="3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>
      <c r="A983" s="10" t="n"/>
      <c r="B983" s="3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>
      <c r="A984" s="10" t="n"/>
      <c r="B984" s="3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>
      <c r="A985" s="10" t="n"/>
      <c r="B985" s="3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>
      <c r="A986" s="10" t="n"/>
      <c r="B986" s="3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>
      <c r="A987" s="10" t="n"/>
      <c r="B987" s="3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>
      <c r="A988" s="10" t="n"/>
      <c r="B988" s="3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>
      <c r="A989" s="10" t="n"/>
      <c r="B989" s="3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>
      <c r="A990" s="10" t="n"/>
      <c r="B990" s="3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>
      <c r="A991" s="10" t="n"/>
      <c r="B991" s="3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>
      <c r="A992" s="10" t="n"/>
      <c r="B992" s="3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>
      <c r="A993" s="10" t="n"/>
      <c r="B993" s="3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>
      <c r="A994" s="10" t="n"/>
      <c r="B994" s="3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>
      <c r="A995" s="10" t="n"/>
      <c r="B995" s="3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>
      <c r="A996" s="10" t="n"/>
      <c r="B996" s="3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>
      <c r="A997" s="10" t="n"/>
      <c r="B997" s="3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>
      <c r="A998" s="10" t="n"/>
      <c r="B998" s="3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>
      <c r="A999" s="10" t="n"/>
      <c r="B999" s="3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>
      <c r="A1000" s="10" t="n"/>
      <c r="B1000" s="3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</sheetData>
  <autoFilter ref="$A$1:$Z$2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99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6" customWidth="1" style="31" min="1" max="1"/>
    <col width="14" customWidth="1" style="31" min="2" max="2"/>
    <col width="55" customWidth="1" style="31" min="3" max="3"/>
    <col width="90" customWidth="1" style="31" min="4" max="4"/>
    <col width="30" customWidth="1" style="31" min="5" max="5"/>
  </cols>
  <sheetData>
    <row r="1">
      <c r="A1" s="39" t="inlineStr">
        <is>
          <t>講義内容</t>
        </is>
      </c>
      <c r="B1" s="39" t="inlineStr">
        <is>
          <t>タイミング</t>
        </is>
      </c>
      <c r="C1" s="39" t="inlineStr">
        <is>
          <t>件名</t>
        </is>
      </c>
      <c r="D1" s="39" t="inlineStr">
        <is>
          <t>本文</t>
        </is>
      </c>
      <c r="E1" s="39" t="inlineStr">
        <is>
          <t>zoomリンク</t>
        </is>
      </c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</row>
    <row r="2" ht="67.5" customHeight="1" s="31">
      <c r="A2" s="22" t="inlineStr">
        <is>
          <t>オリエンテーション</t>
        </is>
      </c>
      <c r="B2" s="22" t="inlineStr">
        <is>
          <t>前日</t>
        </is>
      </c>
      <c r="C2" s="22" t="inlineStr">
        <is>
          <t>【重要】明日開催！スタートアップオリエンテーション（{{日程}}21時〜）URL詳細</t>
        </is>
      </c>
      <c r="D2" s="22" t="inlineStr">
        <is>
          <t>※このメールは、『{{期}}"Shine A Light"』の皆さまにお送りしております。
こんにちは。
Shine A Light 運営事務局です。
【明日開催のスタートアップオリエンテーションの詳細です】
＝＝＝＝＝
詳細
＝＝＝＝＝
【日時】
{{日程}}{{時間}}
【開催方法】
zoomで開催します。
【視聴URL】
{{zoomリンク}}
ご案内は以上です。
後ほどよろしくお願いいたします。
ご不明な点等ございましたら
当メールの返信にてご連絡ください。
Shine A Light 運営事務局</t>
        </is>
      </c>
      <c r="E2" s="12" t="inlineStr">
        <is>
          <t>https://us02web.zoom.us/j/82603439180
ミーティングID: 826 0343 9180</t>
        </is>
      </c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</row>
    <row r="3" ht="66.75" customHeight="1" s="31">
      <c r="A3" s="27" t="inlineStr">
        <is>
          <t>オリエンテーション</t>
        </is>
      </c>
      <c r="B3" s="27" t="inlineStr">
        <is>
          <t>当日</t>
        </is>
      </c>
      <c r="C3" s="22" t="inlineStr">
        <is>
          <t>【重要】本日開催！スタートアップオリエンテーション（{{日程}}21時〜）URL詳細</t>
        </is>
      </c>
      <c r="D3" s="22" t="inlineStr">
        <is>
          <t>※このメールは、『{{期}}"Shine A Light"』の皆さまにお送りしております。
こんにちは。
Shine A Light 運営事務局です。
【本日開催のスタートアップオリエンテーションの詳細です】
＝＝＝＝＝
詳細
＝＝＝＝＝
【日時】
{{日程}}{{時間}}
【開催方法】
zoomで開催します。
【視聴URL】
{{zoomリンク}}
ご案内は以上です。
ご不明な点等ございましたら
当メールの返信にてご連絡ください。
Shine A Light 運営事務局</t>
        </is>
      </c>
      <c r="E3" s="12" t="inlineStr">
        <is>
          <t>https://us02web.zoom.us/j/82603439180
ミーティングID: 826 0343 9180</t>
        </is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</row>
    <row r="4" ht="126.75" customHeight="1" s="31">
      <c r="A4" s="22" t="inlineStr">
        <is>
          <t>オリエンテーション</t>
        </is>
      </c>
      <c r="B4" s="22" t="inlineStr">
        <is>
          <t>アーカイブ</t>
        </is>
      </c>
      <c r="C4" s="22" t="inlineStr">
        <is>
          <t>【重要】{{日程}}オリエンテーションアーカイブ&amp;プラチナプログラムのご案内</t>
        </is>
      </c>
      <c r="D4" s="22" t="inlineStr">
        <is>
          <t>※このメールは、『{{期}}"Shine A Light"』の皆さまにお送りしております。
こんにちは。
Shine A Light 運営事務局です。
{{日程}}のオリエンテーションの
アーカイブをお送りします。
また、
・{{期}}の会員サイト
・プラチナプログラム（審査制）の詳細
についてのご案内も記載いたします。
長文になりますが、
最後までメールをご覧ください。
＝＝＝＝＝＝＝＝＝
オリエンテーションのアーカイブ＞＞
＝＝＝＝＝＝＝＝＝
【{{期}}の会員サイトはこちらです】
※{{第1回目動画配信日}}に配信される
第1回目の講義前にログインして、
モジュール８の
「オリエンテーション”Shine A Light”の進め方」
をご視聴ください
お申し込みされた時のメールアドレスで
ログインしてみてください。
もしパスワードがうまくいかない場合は
パスワードを再設定してログインお願いいたします。
＝＝＝
{{会員サイト}}
＝＝＝
【プラチナプログラム（審査制）のご案内】
個別コンサル付きプロデュースコース
（審査制）のエントリーを受け付けいたします。
プラチナプログラムに参加している先生からは
月商100万円以上の売上報告を続々といただいたり、
売上だけでなくお教室の先生以外の
ポジションを確立することにより
ブランディングが上がり
活躍の場が広がります。
ビジネスについて
さらにレベルの高いことが
学べる場で、
・先生たちへ講座を開講して行きたい
・高額商品を作り売り上げを上げたい
・レッスン以外の収入の柱が欲しい
という方におすすめします。
【最終エントリー締切：{{第1回動画配信3日後}}24時まで】
＝＝＝＝
プラチナ書類審査フォーム（最速で結果を出したい方へ！）
http://wakanasonlineschool.com/platinum-program-form/
（審査料１万円）
プラチナプログラム説明動画
https://vimeo.com/1163628152/bfbb0dc804?share=copy&amp;fl=sv&amp;fe=ci
プラチナメンバーインタビュー集（ご参考にご視聴ください）
https://wakanasonlineschool.com/platinum-member-casestudy-2026/
＝＝＝＝
※書類審査へのエントリーフォームは、
入力するのに長い方は３０分ほど時間が必要な場合もあります。
時間に余裕を持ってエントリーください。
ぜひエントリーして
新たな挑戦をしてください＾＾
プラチナプログラムへの
ご質問やご相談がある場合は、
ヴォンドラ高橋若菜に個別メッセージ、
またはメールをくださいませ。
もっともっと上を目指して
行きましょう！
ご案内は以上です。
ご不明な点等ございましたら
当メールの返信にてお問合せください。
Shine A Light 運営事務局</t>
        </is>
      </c>
      <c r="E4" s="2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</row>
    <row r="5" ht="180" customHeight="1" s="31">
      <c r="A5" s="37" t="inlineStr">
        <is>
          <t>第1回動画配信</t>
        </is>
      </c>
      <c r="B5" s="37" t="inlineStr">
        <is>
          <t>当日</t>
        </is>
      </c>
      <c r="C5" s="37" t="inlineStr">
        <is>
          <t>【重要】第1回目の講義動画をお届けいたします</t>
        </is>
      </c>
      <c r="D5" s="37" t="inlineStr">
        <is>
          <t>※このメールは、『{{期}}"Shine A Light"』の皆さまにお送りしております。
こんにちは
Shine A Light 運営事務局です。
本日、第1回目の講義動画を会員サイトにアップいたしました。
＝＝＝＝＝
{{会員サイト}}
＝＝＝＝＝
モジュールの項目で第1回目の講義動画をご視聴可能です。
＜第1回目：ブランディング＞
①３ヶ月でオンラインで成功するためのマインドセット
②ストーリーの作り方
③実績を掘り起こそう／お客様のお声を取ってみよう
④魅力的なプロフィール作成
⑤Youtubeで市場調査
課題提出の期限は次回の講義動画配信日までとなっております。
ご案内は以上です。
ご不明点のお問い合わせは
当メールの返信にてご連絡ください。
Shine A Light 運営事務局</t>
        </is>
      </c>
      <c r="E5" s="37" t="inlineStr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</row>
    <row r="6" ht="180" customHeight="1" s="31">
      <c r="A6" s="37" t="inlineStr">
        <is>
          <t>第2回動画配信</t>
        </is>
      </c>
      <c r="B6" s="37" t="inlineStr">
        <is>
          <t>当日</t>
        </is>
      </c>
      <c r="C6" s="37" t="inlineStr">
        <is>
          <t>【重要】第2回目の講義動画をお届けいたします</t>
        </is>
      </c>
      <c r="D6" s="37" t="inlineStr">
        <is>
          <t>※このメールは、『{{期}}"Shine A Light"』の皆さまにお送りしております。
こんにちは
Shine A Light 運営事務局です。
本日、第2回目の講義動画を会員サイトにアップいたしました。
＝＝＝＝＝
{{会員サイト}}
＝＝＝＝＝
モジュールの項目でご視聴ください。
課題提出の期限は次回の講義動画配信日までとなっております。
ご案内は以上です。
ご不明点のお問い合わせは
当メールの返信にてご連絡ください。
Shine A Light 運営事務局</t>
        </is>
      </c>
      <c r="E6" s="37" t="inlineStr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180" customHeight="1" s="31">
      <c r="A7" s="37" t="inlineStr">
        <is>
          <t>第3回動画配信</t>
        </is>
      </c>
      <c r="B7" s="37" t="inlineStr">
        <is>
          <t>当日</t>
        </is>
      </c>
      <c r="C7" s="37" t="inlineStr">
        <is>
          <t>【重要】第3回目の講義動画をお届けいたします</t>
        </is>
      </c>
      <c r="D7" s="37" t="inlineStr">
        <is>
          <t>※このメールは、『{{期}}"Shine A Light"』の皆さまにお送りしております。
こんにちは
Shine A Light 運営事務局です。
本日、第3回目の講義動画を会員サイトにアップいたしました。
＝＝＝＝＝
{{会員サイト}}
＝＝＝＝＝
課題提出の期限は次回の講義動画配信日までとなっております。
ご案内は以上です。
ご不明点のお問い合わせは
当メールの返信にてご連絡ください。
Shine A Light 運営事務局</t>
        </is>
      </c>
      <c r="E7" s="37" t="inlineStr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</row>
    <row r="8" ht="180" customHeight="1" s="31">
      <c r="A8" s="37" t="inlineStr">
        <is>
          <t>第4回動画配信</t>
        </is>
      </c>
      <c r="B8" s="37" t="inlineStr">
        <is>
          <t>当日</t>
        </is>
      </c>
      <c r="C8" s="37" t="inlineStr">
        <is>
          <t>【重要】第4回目の講義動画をお届けいたします</t>
        </is>
      </c>
      <c r="D8" s="37" t="inlineStr">
        <is>
          <t>※このメールは、『{{期}}"Shine A Light"』の皆さまにお送りしております。
こんにちは
Shine A Light 運営事務局です。
本日、第4回目の講義動画を会員サイトにアップいたしました。
＝＝＝＝＝
{{会員サイト}}
＝＝＝＝＝
課題提出の期限は次回の講義動画配信日までとなっております。
ご案内は以上です。
ご不明点のお問い合わせは
当メールの返信にてご連絡ください。
Shine A Light 運営事務局</t>
        </is>
      </c>
      <c r="E8" s="37" t="inlineStr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</row>
    <row r="9" ht="180" customHeight="1" s="31">
      <c r="A9" s="37" t="inlineStr">
        <is>
          <t>第5回動画配信</t>
        </is>
      </c>
      <c r="B9" s="37" t="inlineStr">
        <is>
          <t>当日</t>
        </is>
      </c>
      <c r="C9" s="37" t="inlineStr">
        <is>
          <t>【重要】第5回目の講義動画をお届けいたします</t>
        </is>
      </c>
      <c r="D9" s="37" t="inlineStr">
        <is>
          <t>※このメールは、『{{期}}"Shine A Light"』の皆さまにお送りしております。
こんにちは
Shine A Light 運営事務局です。
本日、第5回目の講義動画を会員サイトにアップいたしました。
＝＝＝＝＝
{{会員サイト}}
＝＝＝＝＝
課題提出の期限は次回の講義動画配信日までとなっております。
ご案内は以上です。
ご不明点のお問い合わせは
当メールの返信にてご連絡ください。
Shine A Light 運営事務局</t>
        </is>
      </c>
      <c r="E9" s="37" t="inlineStr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</row>
    <row r="10" ht="180" customHeight="1" s="31">
      <c r="A10" s="37" t="inlineStr">
        <is>
          <t>第6回動画配信</t>
        </is>
      </c>
      <c r="B10" s="37" t="inlineStr">
        <is>
          <t>当日</t>
        </is>
      </c>
      <c r="C10" s="37" t="inlineStr">
        <is>
          <t>【重要】第6回目の講義動画をお届けいたします</t>
        </is>
      </c>
      <c r="D10" s="37" t="inlineStr">
        <is>
          <t>※このメールは、『{{期}}"Shine A Light"』の皆さまにお送りしております。
こんにちは
Shine A Light 運営事務局です。
本日、第6回目の講義動画を会員サイトにアップいたしました。
＝＝＝＝＝
{{会員サイト}}
＝＝＝＝＝
3ヶ月お疲れ様でした！
ご案内は以上です。
ご不明点のお問い合わせは
当メールの返信にてご連絡ください。
Shine A Light 運営事務局</t>
        </is>
      </c>
      <c r="E10" s="37" t="inlineStr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80" customHeight="1" s="31">
      <c r="A11" s="37" t="inlineStr">
        <is>
          <t>キャッチアップウェンズデー</t>
        </is>
      </c>
      <c r="B11" s="37" t="inlineStr">
        <is>
          <t>メールセット</t>
        </is>
      </c>
      <c r="C11" s="37" t="inlineStr">
        <is>
          <t>【重要】{{日程}}キャッチアップウェンズデーのご案内</t>
        </is>
      </c>
      <c r="D11" s="37" t="inlineStr">
        <is>
          <t>※このメールは、『{{期}}"Shine A Light"』の皆さまにお送りしております。
こんにちは。
Shine A Light 運営事務局です。
{{日程}}{{時間}}にサポート講師による
キャッチアップウェンズデーを開催します。
今回のサポート講師は{{担当者}}です。
気軽にご参加ください。
ご案内は以上です。
ご不明点のお問い合わせは
当メールの返信にてご連絡ください。
Shine A Light 運営事務局</t>
        </is>
      </c>
      <c r="E11" s="37" t="inlineStr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80" customHeight="1" s="31">
      <c r="A12" s="37" t="inlineStr">
        <is>
          <t>キャッチアップウェンズデー</t>
        </is>
      </c>
      <c r="B12" s="37" t="inlineStr">
        <is>
          <t>前日</t>
        </is>
      </c>
      <c r="C12" s="37" t="inlineStr">
        <is>
          <t>【重要】明日{{時間}}キャッチアップウェンズデー詳細</t>
        </is>
      </c>
      <c r="D12" s="37" t="inlineStr">
        <is>
          <t>※このメールは、『{{期}}"Shine A Light"』の皆さまにお送りしております。
こんにちは。
Shine A Light 運営事務局です。
明日 {{日程}}{{時間}} にキャッチアップウェンズデーがございます。
＝＝＝＝＝＝
【参加URL（Zoom）】
{{zoomリンク}}
＝＝＝＝＝＝
サポート講師：{{担当者}}
ご案内は以上です。
ご不明点のお問い合わせは
当メールの返信にてご連絡ください。
Shine A Light 運営事務局</t>
        </is>
      </c>
      <c r="E12" s="37" t="inlineStr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</row>
    <row r="13" ht="180" customHeight="1" s="31">
      <c r="A13" s="37" t="inlineStr">
        <is>
          <t>キャッチアップウェンズデー</t>
        </is>
      </c>
      <c r="B13" s="37" t="inlineStr">
        <is>
          <t>当日</t>
        </is>
      </c>
      <c r="C13" s="37" t="inlineStr">
        <is>
          <t>【重要】本日{{時間}}キャッチアップウェンズデー詳細</t>
        </is>
      </c>
      <c r="D13" s="37" t="inlineStr">
        <is>
          <t>※このメールは、『{{期}}"Shine A Light"』の皆さまにお送りしております。
こんにちは。
Shine A Light 運営事務局です。
本日 {{日程}}{{時間}} にキャッチアップウェンズデーがございます。
＝＝＝＝＝＝
【参加URL（Zoom）】
{{zoomリンク}}
＝＝＝＝＝＝
サポート講師：{{担当者}}
それでは後ほど、よろしくお願いいたします。
ご案内は以上です。
ご不明点のお問い合わせは
当メールの返信にてご連絡ください。
Shine A Light 運営事務局</t>
        </is>
      </c>
      <c r="E13" s="37" t="inlineStr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</row>
    <row r="14" ht="180" customHeight="1" s="31">
      <c r="A14" s="37" t="inlineStr">
        <is>
          <t>キャッチアップウェンズデー</t>
        </is>
      </c>
      <c r="B14" s="37" t="inlineStr">
        <is>
          <t>アーカイブ</t>
        </is>
      </c>
      <c r="C14" s="37" t="inlineStr">
        <is>
          <t>【アーカイブ】{{日程}}キャッチアップウェンズデーの動画です</t>
        </is>
      </c>
      <c r="D14" s="37" t="inlineStr">
        <is>
          <t>※このメールは、『{{期}}"Shine A Light"』の皆さまにお送りしております。
こんにちは。
Shine A Light 運営事務局です。
昨日開催しましたキャッチアップウェンズデーの動画を
会員サイトにアップしました。
参加できなかった方、復習等にご活用ください。
＝＝＝＝＝＝
{{会員サイト}}
＝＝＝＝＝＝
ご案内は以上です。
ご不明点のお問い合わせは
当メールの返信にてご連絡ください。
Shine A Light 運営事務局</t>
        </is>
      </c>
      <c r="E14" s="37" t="inlineStr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</row>
    <row r="15" ht="180" customHeight="1" s="31">
      <c r="A15" s="37" t="inlineStr">
        <is>
          <t>キャッチアップマンデー</t>
        </is>
      </c>
      <c r="B15" s="37" t="inlineStr">
        <is>
          <t>メールセット</t>
        </is>
      </c>
      <c r="C15" s="37" t="inlineStr">
        <is>
          <t>【重要】{{日程}}キャッチアップマンデーのご案内</t>
        </is>
      </c>
      <c r="D15" s="37" t="inlineStr">
        <is>
          <t>※このメールは、『{{期}}"Shine A Light"』の皆さまにお送りしております。
こんにちは。
Shine A Light 運営事務局です。
{{日程}}{{時間}}に
若菜先生のキャッチアップマンデーを開催します。
気軽にご参加ください。
ご案内は以上です。
ご不明点のお問い合わせは
当メールの返信にてご連絡ください。
Shine A Light 運営事務局</t>
        </is>
      </c>
      <c r="E15" s="37" t="inlineStr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80" customHeight="1" s="31">
      <c r="A16" s="37" t="inlineStr">
        <is>
          <t>キャッチアップマンデー</t>
        </is>
      </c>
      <c r="B16" s="37" t="inlineStr">
        <is>
          <t>前日</t>
        </is>
      </c>
      <c r="C16" s="37" t="inlineStr">
        <is>
          <t>【重要】明日{{時間}}キャッチアップマンデー詳細</t>
        </is>
      </c>
      <c r="D16" s="37" t="inlineStr">
        <is>
          <t>※このメールは、『{{期}}"Shine A Light"』の皆さまにお送りしております。
こんにちは。
Shine A Light 運営事務局です。
明日 {{日程}}{{時間}} にキャッチアップマンデーがございます。
＝＝＝＝＝＝
【参加URL（Zoom）】
{{zoomリンク}}
＝＝＝＝＝＝
担当：{{担当者}}
ご案内は以上です。
ご不明点のお問い合わせは
当メールの返信にてご連絡ください。
Shine A Light 運営事務局</t>
        </is>
      </c>
      <c r="E16" s="37" t="inlineStr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</row>
    <row r="17" ht="180" customHeight="1" s="31">
      <c r="A17" s="37" t="inlineStr">
        <is>
          <t>キャッチアップマンデー</t>
        </is>
      </c>
      <c r="B17" s="37" t="inlineStr">
        <is>
          <t>当日</t>
        </is>
      </c>
      <c r="C17" s="37" t="inlineStr">
        <is>
          <t>【重要】本日{{時間}}キャッチアップマンデー詳細</t>
        </is>
      </c>
      <c r="D17" s="37" t="inlineStr">
        <is>
          <t>※このメールは、『{{期}}"Shine A Light"』の皆さまにお送りしております。
こんにちは。
Shine A Light 運営事務局です。
本日 {{日程}}{{時間}} にキャッチアップマンデーがございます。
＝＝＝＝＝＝
【参加URL（Zoom）】
{{zoomリンク}}
＝＝＝＝＝＝
担当：{{担当者}}
それでは後ほど、よろしくお願いいたします。
ご案内は以上です。
ご不明点のお問い合わせは
当メールの返信にてご連絡ください。
Shine A Light 運営事務局</t>
        </is>
      </c>
      <c r="E17" s="37" t="inlineStr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80" customHeight="1" s="31">
      <c r="A18" s="37" t="inlineStr">
        <is>
          <t>キャッチアップマンデー</t>
        </is>
      </c>
      <c r="B18" s="37" t="inlineStr">
        <is>
          <t>アーカイブ</t>
        </is>
      </c>
      <c r="C18" s="37" t="inlineStr">
        <is>
          <t>【アーカイブ】{{日程}}キャッチアップマンデーの動画です</t>
        </is>
      </c>
      <c r="D18" s="37" t="inlineStr">
        <is>
          <t>※このメールは、『{{期}}"Shine A Light"』の皆さまにお送りしております。
こんにちは。
Shine A Light 運営事務局です。
昨日のキャッチアップマンデーのアーカイブを
会員サイトにアップしました。
参加できなかった方、復習等にご活用ください。
＝＝＝＝＝＝
{{会員サイト}}
＝＝＝＝＝＝
ご案内は以上です。
ご不明点のお問い合わせは
当メールの返信にてご連絡ください。
Shine A Light 運営事務局</t>
        </is>
      </c>
      <c r="E18" s="37" t="inlineStr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80" customHeight="1" s="31">
      <c r="A19" s="37" t="inlineStr">
        <is>
          <t>サポート講師ビギナーグルコン</t>
        </is>
      </c>
      <c r="B19" s="37" t="inlineStr">
        <is>
          <t>メールセット</t>
        </is>
      </c>
      <c r="C19" s="37" t="inlineStr">
        <is>
          <t>【重要】{{日程}}{{時間}}開催 ビギナーグルコンの質問をお送りください</t>
        </is>
      </c>
      <c r="D19" s="37" t="inlineStr">
        <is>
          <t>※このメールは、『{{期}}"Shine A Light"』の皆さまにお送りしております。
こんにちは。
"Shine A Light"運営事務局です。
{{日程}}{{時間}}にサポート講師によるビギナーグルコンを開催します。
今回のサポート講師は{{担当者}}です。
困っていること・相談したいことがありましたら、何でも小さなことでもいいのでお送りください。
【グルコン開催前の事前アンケートのお願い】
以下のアンケートフォームから送信してください。
いただいた質問にグルコンでお答えいたします。
▼グルコンの事前アンケート▼
{{事前フォームURL}}
ご案内は以上です。
ご不明点のお問い合わせは
当メールの返信にてご連絡ください。
Shine A Light 運営事務局</t>
        </is>
      </c>
      <c r="E19" s="37" t="inlineStr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180" customHeight="1" s="31">
      <c r="A20" s="37" t="inlineStr">
        <is>
          <t>サポート講師ビギナーグルコン</t>
        </is>
      </c>
      <c r="B20" s="37" t="inlineStr">
        <is>
          <t>3日前</t>
        </is>
      </c>
      <c r="C20" s="37" t="inlineStr">
        <is>
          <t>【リマインド】{{日程}}ビギナーグルコンの事前質問はお済みですか？</t>
        </is>
      </c>
      <c r="D20" s="37" t="inlineStr">
        <is>
          <t>※このメールは、『{{期}}"Shine A Light"』の皆さまにお送りしております。
こんにちは。
"Shine A Light"運営事務局です。
{{日程}}{{時間}}のビギナーグルコンまであと3日です。
▼事前アンケートフォーム▼
{{事前フォームURL}}
サポート講師：{{担当者}}
ご案内は以上です。
ご不明点のお問い合わせは
当メールの返信にてご連絡ください。
Shine A Light 運営事務局</t>
        </is>
      </c>
      <c r="E20" s="37" t="inlineStr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</row>
    <row r="21" ht="180" customHeight="1" s="31">
      <c r="A21" s="37" t="inlineStr">
        <is>
          <t>サポート講師ビギナーグルコン</t>
        </is>
      </c>
      <c r="B21" s="37" t="inlineStr">
        <is>
          <t>前日</t>
        </is>
      </c>
      <c r="C21" s="37" t="inlineStr">
        <is>
          <t>【重要】明日{{時間}}〜ビギナーグルコン詳細・事前質問受付は本日12時まで！</t>
        </is>
      </c>
      <c r="D21" s="37" t="inlineStr">
        <is>
          <t>※このメールは、『{{期}}"Shine A Light"』の皆さまにお送りしております。
こんにちは。
"Shine A Light"運営事務局です。
明日のビギナーグルコンの詳細と、事前質問アンケート送信のお願いです。
明日 {{日程}}{{時間}} にビギナーグルコンがございます。
＝＝＝＝＝＝
【参加URL（Zoom）】
{{zoomリンク}}
＝＝＝＝＝＝
【事前質問受付は本日12時まで】
{{事前フォームURL}}
サポート講師：{{担当者}}
ご案内は以上です。
ご不明点のお問い合わせは
当メールの返信にてご連絡ください。
Shine A Light 運営事務局</t>
        </is>
      </c>
      <c r="E21" s="37" t="inlineStr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</row>
    <row r="22" ht="180" customHeight="1" s="31">
      <c r="A22" s="37" t="inlineStr">
        <is>
          <t>サポート講師ビギナーグルコン</t>
        </is>
      </c>
      <c r="B22" s="37" t="inlineStr">
        <is>
          <t>当日</t>
        </is>
      </c>
      <c r="C22" s="37" t="inlineStr">
        <is>
          <t>【重要】本日{{時間}}〜ビギナーグルコン詳細</t>
        </is>
      </c>
      <c r="D22" s="37" t="inlineStr">
        <is>
          <t>※このメールは、『{{期}}"Shine A Light"』の皆さまにお送りしております。
こんにちは。
"Shine A Light"運営事務局です。
本日 {{日程}}{{時間}} にビギナーグルコンがございます。
＝＝＝＝＝＝
【参加URL（Zoom）】
{{zoomリンク}}
＝＝＝＝＝＝
サポート講師：{{担当者}}
それでは後ほど、よろしくお願いいたします。
ご案内は以上です。
ご不明点のお問い合わせは
当メールの返信にてご連絡ください。
Shine A Light 運営事務局</t>
        </is>
      </c>
      <c r="E22" s="37" t="inlineStr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80" customHeight="1" s="31">
      <c r="A23" s="37" t="inlineStr">
        <is>
          <t>サポート講師ビギナーグルコン</t>
        </is>
      </c>
      <c r="B23" s="37" t="inlineStr">
        <is>
          <t>アーカイブ</t>
        </is>
      </c>
      <c r="C23" s="37" t="inlineStr">
        <is>
          <t>【アーカイブ】{{日程}}ビギナーグルコンの動画です</t>
        </is>
      </c>
      <c r="D23" s="37" t="inlineStr">
        <is>
          <t>※このメールは、『{{期}}"Shine A Light"』の皆さまにお送りしております。
こんにちは。
"Shine A Light"運営事務局です。
昨日のビギナーグルコンのアーカイブを会員サイトにアップしました。
参加できなかった方や復習にご活用ください。
＝＝＝＝＝＝
{{会員サイト}}
＝＝＝＝＝＝
ご案内は以上です。
ご不明点のお問い合わせは
当メールの返信にてご連絡ください。
Shine A Light 運営事務局</t>
        </is>
      </c>
      <c r="E23" s="37" t="inlineStr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180" customHeight="1" s="31">
      <c r="A24" s="37" t="inlineStr">
        <is>
          <t>グルコン</t>
        </is>
      </c>
      <c r="B24" s="37" t="inlineStr">
        <is>
          <t>メールセット</t>
        </is>
      </c>
      <c r="C24" s="37" t="inlineStr">
        <is>
          <t>{{日程}}{{時間}}〜開催グルコンの質問をお送りください</t>
        </is>
      </c>
      <c r="D24" s="37" t="inlineStr">
        <is>
          <t>※このメールは、『{{期}}"Shine A Light"』の皆さまにお送りしております。
こんにちは。
"Shine A Light"運営事務局です。
{{日程}}{{時間}}〜開催のグルコンについてのご連絡です。
課題をこなすのに、前へ進むのに、止まってしまっていませんか？
グルコンへの質問を受け付けますので、
ぜひ困っていること・相談したいことがありましたら、
何でも小さなことでもいいのでお送りください。
【グルコン開催前の事前アンケートのお願い】
▼グルコンの事前アンケート▼
{{事前フォームURL}}
※グルコンの欠席連絡は不要です。
【グルコンで添削をご希望の場合の注意点】
■ 対象物：スライド／SNS（プロフィール含む）／LP／ホームページ／Googleドキュメント など
■ 提出方法：事前質問フォームに、対象物のURLリンクを必ず貼り付け。閲覧権限は「リンクを知っている全員が閲覧可」に設定。
■ 質問の書き方：「見てほしいです」の一言でなく、特に見てほしい箇所／現状と目的／相談内容 を具体的にお書きください。
■ 受付できないケース：リンク未記載／個別メッセージでの直前送付／閲覧権限が付与されていないリンク
ご案内は以上です。
ご不明点のお問い合わせは
当メールの返信にてご連絡ください。
Shine A Light 運営事務局</t>
        </is>
      </c>
      <c r="E24" s="37" t="inlineStr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</row>
    <row r="25" ht="180" customHeight="1" s="31">
      <c r="A25" s="37" t="inlineStr">
        <is>
          <t>グルコン</t>
        </is>
      </c>
      <c r="B25" s="37" t="inlineStr">
        <is>
          <t>3日前</t>
        </is>
      </c>
      <c r="C25" s="37" t="inlineStr">
        <is>
          <t>【リマインド】{{日程}}グルコン 事前質問はお済みですか？</t>
        </is>
      </c>
      <c r="D25" s="37" t="inlineStr">
        <is>
          <t>※このメールは、『{{期}}"Shine A Light"』の皆さまにお送りしております。
こんにちは。
"Shine A Light"運営事務局です。
{{日程}}{{時間}}のグルコンまであと3日です。
事前質問がまだの方はぜひお送りください。
▼グルコンの事前アンケート▼
{{事前フォームURL}}
ご案内は以上です。
ご不明点のお問い合わせは
当メールの返信にてご連絡ください。
Shine A Light 運営事務局</t>
        </is>
      </c>
      <c r="E25" s="37" t="inlineStr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180" customHeight="1" s="31">
      <c r="A26" s="37" t="inlineStr">
        <is>
          <t>グルコン</t>
        </is>
      </c>
      <c r="B26" s="37" t="inlineStr">
        <is>
          <t>前日</t>
        </is>
      </c>
      <c r="C26" s="37" t="inlineStr">
        <is>
          <t>【重要】明日{{時間}}〜グルコン詳細・事前質問受付は本日12時まで！</t>
        </is>
      </c>
      <c r="D26" s="37" t="inlineStr">
        <is>
          <t>※このメールは、『{{期}}"Shine A Light"』の皆さまにお送りしております。
こんにちは。
"Shine A Light"運営事務局です。
明日のグルコンの詳細のお知らせと事前質問アンケート送信のお願いです。
明日 {{日程}}{{時間}} にグルコンがございます。
＝＝＝＝＝＝
【グルコン参加URL（Zoom）】
{{zoomリンク}}
＝＝＝＝＝＝
※グルコン動画は、後日アーカイブを送付いたします。
※グルコンの欠席連絡は不要です。
【グルコン事前質問受付は本日12時まで！】
{{事前フォームURL}}
【グルコンで添削をご希望の場合の注意点】
■ 対象物：スライド／SNS（プロフィール含む）／LP／ホームページ／Googleドキュメント など
■ 提出方法：事前質問フォームに、対象物のURLリンクを必ず貼り付け。閲覧権限は「リンクを知っている全員が閲覧可」に設定。
■ 質問の書き方：「見てほしいです」の一言でなく、特に見てほしい箇所／現状と目的／相談内容 を具体的にお書きください。
■ 受付できないケース：リンク未記載／個別メッセージでの直前送付／閲覧権限が付与されていないリンク
ご案内は以上です。
ご不明点のお問い合わせは
当メールの返信にてご連絡ください。
Shine A Light 運営事務局</t>
        </is>
      </c>
      <c r="E26" s="37" t="inlineStr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180" customHeight="1" s="31">
      <c r="A27" s="37" t="inlineStr">
        <is>
          <t>グルコン</t>
        </is>
      </c>
      <c r="B27" s="37" t="inlineStr">
        <is>
          <t>当日</t>
        </is>
      </c>
      <c r="C27" s="37" t="inlineStr">
        <is>
          <t>【重要】本日{{時間}}〜グルコンの詳細です！</t>
        </is>
      </c>
      <c r="D27" s="37" t="inlineStr">
        <is>
          <t>※このメールは、『{{期}}"Shine A Light"』の皆さまにお送りしております。
こんにちは。
"Shine A Light"運営事務局です。
本日 {{日程}}{{時間}} にグルコンがございます。
＝＝＝＝＝＝
【グルコン参加URL（Zoom）】
{{zoomリンク}}
＝＝＝＝＝＝
※グルコン動画は、後日アーカイブを送付いたします。
本日ご都合がつかない方は、アーカイブをご活用ください。
それでは後ほど、よろしくお願いいたします。
ご案内は以上です。
ご不明点のお問い合わせは
当メールの返信にてご連絡ください。
Shine A Light 運営事務局</t>
        </is>
      </c>
      <c r="E27" s="37" t="inlineStr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</row>
    <row r="28" ht="180" customHeight="1" s="31">
      <c r="A28" s="37" t="inlineStr">
        <is>
          <t>グルコン</t>
        </is>
      </c>
      <c r="B28" s="37" t="inlineStr">
        <is>
          <t>アーカイブ</t>
        </is>
      </c>
      <c r="C28" s="37" t="inlineStr">
        <is>
          <t>【グルコン】{{日程}}開催のアーカイブ動画です！</t>
        </is>
      </c>
      <c r="D28" s="37" t="inlineStr">
        <is>
          <t>※このメールは、『{{期}}"Shine A Light"』の皆さまにお送りしております。
こんにちは。
"Shine A Light"運営事務局です。
昨日のグルコンのアーカイブを会員サイトにアップしました！
参加できなかった方や復習にご活用くださいませ。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28" s="37" t="inlineStr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</row>
    <row r="29" ht="180" customHeight="1" s="31">
      <c r="A29" s="37" t="inlineStr">
        <is>
          <t>課題作業会</t>
        </is>
      </c>
      <c r="B29" s="37" t="inlineStr">
        <is>
          <t>メールセット</t>
        </is>
      </c>
      <c r="C29" s="37" t="inlineStr">
        <is>
          <t>【重要】{{日程}}{{時間}}開催 課題作業会の質問をお送りください</t>
        </is>
      </c>
      <c r="D29" s="37" t="inlineStr">
        <is>
          <t>※このメールは、『{{期}}"Shine A Light"』の皆さまにお送りしております。
こんにちは。
"Shine A Light"運営事務局です。
{{日程}}{{時間}}に課題作業会を開催します。
「作業会でこんな作業を一緒にしてほしい！」
「〇〇に困っている！」
ということがありましたら、事前にお伺いしますので
事前フォームに入力ください。
▼作業会の事前フォーム▼
{{事前フォームURL}}
《作業会の詳細》
【日時】{{日程}}{{時間}}
・自由参加 ・途中参加、途中退出OK
【担当講師】{{担当者}}
ご案内は以上です。
ご不明点のお問い合わせは
当メールの返信にてご連絡ください。
Shine A Light 運営事務局</t>
        </is>
      </c>
      <c r="E29" s="37" t="inlineStr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80" customHeight="1" s="31">
      <c r="A30" s="37" t="inlineStr">
        <is>
          <t>課題作業会</t>
        </is>
      </c>
      <c r="B30" s="37" t="inlineStr">
        <is>
          <t>3日前</t>
        </is>
      </c>
      <c r="C30" s="37" t="inlineStr">
        <is>
          <t>【リマインド】{{日程}}課題作業会 事前質問はお済みですか？</t>
        </is>
      </c>
      <c r="D30" s="37" t="inlineStr">
        <is>
          <t>※このメールは、『{{期}}"Shine A Light"』の皆さまにお送りしております。
こんにちは。
"Shine A Light"運営事務局です。
{{日程}}{{時間}}の課題作業会まであと3日です。
▼事前フォーム▼
{{事前フォームURL}}
ご案内は以上です。
ご不明点のお問い合わせは
当メールの返信にてご連絡ください。
Shine A Light 運営事務局</t>
        </is>
      </c>
      <c r="E30" s="37" t="inlineStr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180" customHeight="1" s="31">
      <c r="A31" s="37" t="inlineStr">
        <is>
          <t>課題作業会</t>
        </is>
      </c>
      <c r="B31" s="37" t="inlineStr">
        <is>
          <t>前日</t>
        </is>
      </c>
      <c r="C31" s="37" t="inlineStr">
        <is>
          <t>【重要】明日{{時間}}〜作業会詳細・事前質問受付は本日12時まで！</t>
        </is>
      </c>
      <c r="D31" s="37" t="inlineStr">
        <is>
          <t>※このメールは、『{{期}}"Shine A Light"』の皆さまにお送りしております。
こんにちは。
"Shine A Light"運営事務局です。
明日の作業会の詳細と事前フォーム送信のお願いです。
明日 {{日程}}{{時間}} に作業会がございます。
＝＝＝＝＝＝
【参加URL（Zoom）】
{{zoomリンク}}
＝＝＝＝＝＝
【担当講師】{{担当者}}
【事前質問の回答期限は本日12時まで！】
{{事前フォームURL}}
ご案内は以上です。
ご不明点のお問い合わせは
当メールの返信にてご連絡ください。
Shine A Light 運営事務局</t>
        </is>
      </c>
      <c r="E31" s="37" t="inlineStr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</row>
    <row r="32" ht="180" customHeight="1" s="31">
      <c r="A32" s="37" t="inlineStr">
        <is>
          <t>課題作業会</t>
        </is>
      </c>
      <c r="B32" s="37" t="inlineStr">
        <is>
          <t>当日</t>
        </is>
      </c>
      <c r="C32" s="37" t="inlineStr">
        <is>
          <t>【重要】本日{{時間}}〜作業会の詳細です！</t>
        </is>
      </c>
      <c r="D32" s="37" t="inlineStr">
        <is>
          <t>※このメールは、『{{期}}"Shine A Light"』の皆さまにお送りしております。
こんにちは。
"Shine A Light"運営事務局です。
本日 {{日程}}{{時間}} に作業会がございます。
＝＝＝＝＝＝
【参加URL（Zoom）】
{{zoomリンク}}
＝＝＝＝＝＝
《作業会の詳細》
【担当講師】{{担当者}}
それでは後ほど、よろしくお願いいたします。
ご案内は以上です。
ご不明点のお問い合わせは
当メールの返信にてご連絡ください。
Shine A Light 運営事務局</t>
        </is>
      </c>
      <c r="E32" s="37" t="inlineStr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</row>
    <row r="33" ht="180" customHeight="1" s="31">
      <c r="A33" s="37" t="inlineStr">
        <is>
          <t>課題作業会</t>
        </is>
      </c>
      <c r="B33" s="37" t="inlineStr">
        <is>
          <t>アーカイブ</t>
        </is>
      </c>
      <c r="C33" s="37" t="inlineStr">
        <is>
          <t>【作業会】{{日程}}開催のアーカイブ動画です！</t>
        </is>
      </c>
      <c r="D33" s="37" t="inlineStr">
        <is>
          <t>※このメールは、『{{期}}"Shine A Light"』の皆さまにお送りしております。
こんにちは。
"Shine A Light"運営事務局です。
昨日の作業会のアーカイブを会員サイトにアップしました！
参加できなかった方や復習にご活用くださいませ。
＝＝＝＝＝＝
{{会員サイト}}
＝＝＝＝＝＝
ご案内は以上です。
ご不明点のお問い合わせは
当メールの返信にてご連絡ください。
Shine A Light 運営事務局</t>
        </is>
      </c>
      <c r="E33" s="37" t="inlineStr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2026-08-07T10:22:42Z</dcterms:created>
  <dcterms:modified xsi:type="dcterms:W3CDTF">2026-08-07T10:22:42Z</dcterms:modified>
</cp:coreProperties>
</file>